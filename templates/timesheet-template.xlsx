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." sheetId="1" r:id="rId5"/>
  </sheets>
  <definedNames/>
  <calcPr/>
</workbook>
</file>

<file path=xl/sharedStrings.xml><?xml version="1.0" encoding="utf-8"?>
<sst xmlns="http://schemas.openxmlformats.org/spreadsheetml/2006/main" count="81" uniqueCount="60">
  <si>
    <t>NAME:</t>
  </si>
  <si>
    <t>David</t>
  </si>
  <si>
    <t>REGION:</t>
  </si>
  <si>
    <t>Western Cape</t>
  </si>
  <si>
    <t>WEEK ENDING:</t>
  </si>
  <si>
    <t>CLIENT:</t>
  </si>
  <si>
    <t>Admin</t>
  </si>
  <si>
    <t>UWC Maintenance</t>
  </si>
  <si>
    <t xml:space="preserve">SBM Firestation	</t>
  </si>
  <si>
    <t>SBM NOC (Control Room)</t>
  </si>
  <si>
    <t>SBM Resort</t>
  </si>
  <si>
    <t>SBM Courth House</t>
  </si>
  <si>
    <t>SMB Diazville School</t>
  </si>
  <si>
    <t>Lentegeur Hosital</t>
  </si>
  <si>
    <t>SBSA Caledon</t>
  </si>
  <si>
    <t>TOTAL HOURS</t>
  </si>
  <si>
    <t>TOTAL KM'S</t>
  </si>
  <si>
    <t>JOB NO:</t>
  </si>
  <si>
    <r>
      <rPr>
        <rFont val="Arial"/>
        <b/>
        <color theme="1"/>
        <sz val="8.0"/>
      </rPr>
      <t xml:space="preserve">DATE </t>
    </r>
    <r>
      <rPr>
        <rFont val="Symbol"/>
        <b/>
        <color theme="1"/>
        <sz val="8.0"/>
      </rPr>
      <t>¯</t>
    </r>
  </si>
  <si>
    <t>HRS</t>
  </si>
  <si>
    <t>KM</t>
  </si>
  <si>
    <t>NOR</t>
  </si>
  <si>
    <t>O / T</t>
  </si>
  <si>
    <t>TOT</t>
  </si>
  <si>
    <t>CH</t>
  </si>
  <si>
    <t>ADM</t>
  </si>
  <si>
    <t>PVTE</t>
  </si>
  <si>
    <t>Monday</t>
  </si>
  <si>
    <t>27-07</t>
  </si>
  <si>
    <t>Tuesday</t>
  </si>
  <si>
    <t>28-07</t>
  </si>
  <si>
    <t>Wednesday</t>
  </si>
  <si>
    <t>29-07</t>
  </si>
  <si>
    <t>Thursday</t>
  </si>
  <si>
    <t>30-07</t>
  </si>
  <si>
    <t>Friday</t>
  </si>
  <si>
    <t>31-07</t>
  </si>
  <si>
    <t>Saturday</t>
  </si>
  <si>
    <t>Sunday</t>
  </si>
  <si>
    <t>TOTAL WORKED</t>
  </si>
  <si>
    <t>OFFICE USE</t>
  </si>
  <si>
    <t>TOTAL CLAIMED</t>
  </si>
  <si>
    <t>OVERTIME AUTHORISED</t>
  </si>
  <si>
    <t>CLOSING KM'S</t>
  </si>
  <si>
    <t xml:space="preserve">INVOICE NO. </t>
  </si>
  <si>
    <t>OPENING KM'S</t>
  </si>
  <si>
    <t>OFFICE USE:</t>
  </si>
  <si>
    <t>KM'S TRAVELED</t>
  </si>
  <si>
    <t>CAPTURED:</t>
  </si>
  <si>
    <t>BY</t>
  </si>
  <si>
    <t>DATE</t>
  </si>
  <si>
    <t>SALARIES:</t>
  </si>
  <si>
    <t>Total CH/ADM</t>
  </si>
  <si>
    <t>SIGNATURE OF WORKER</t>
  </si>
  <si>
    <t>SIGNATURE OF MANAGER</t>
  </si>
  <si>
    <t>ACCOUNTS:</t>
  </si>
  <si>
    <t>VARIANCE</t>
  </si>
  <si>
    <t>WEEKLY TIME SHEET</t>
  </si>
  <si>
    <t>HR-018</t>
  </si>
  <si>
    <t>Rev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</si>
</sst>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\ ?/?"/>
  </numFmts>
  <fonts count="18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12.0"/>
      <color rgb="FF000000"/>
      <name val="Arial"/>
    </font>
    <font/>
    <font>
      <b/>
      <sz val="8.0"/>
      <color rgb="FF000000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u/>
      <sz val="9.0"/>
      <color rgb="FF000000"/>
      <name val="Arial"/>
    </font>
    <font>
      <sz val="8.0"/>
      <color rgb="FF000000"/>
      <name val="Arial"/>
    </font>
    <font>
      <b/>
      <i/>
      <sz val="7.0"/>
      <color theme="1"/>
      <name val="Arial"/>
    </font>
    <font>
      <sz val="9.0"/>
      <color theme="1"/>
      <name val="Arial"/>
    </font>
    <font>
      <b/>
      <sz val="9.0"/>
      <color rgb="FFFF0000"/>
      <name val="Arial"/>
    </font>
    <font>
      <b/>
      <sz val="14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b/>
      <sz val="20.0"/>
      <color theme="1"/>
      <name val="Arial"/>
    </font>
    <font>
      <u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dotted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dotted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2" fillId="0" fontId="2" numFmtId="0" xfId="0" applyAlignment="1" applyBorder="1" applyFont="1">
      <alignment horizontal="left" readingOrder="0"/>
    </xf>
    <xf borderId="2" fillId="0" fontId="3" numFmtId="0" xfId="0" applyBorder="1" applyFont="1"/>
    <xf borderId="3" fillId="0" fontId="2" numFmtId="0" xfId="0" applyAlignment="1" applyBorder="1" applyFont="1">
      <alignment horizontal="right"/>
    </xf>
    <xf borderId="3" fillId="0" fontId="3" numFmtId="0" xfId="0" applyBorder="1" applyFont="1"/>
    <xf borderId="2" fillId="0" fontId="2" numFmtId="0" xfId="0" applyAlignment="1" applyBorder="1" applyFont="1">
      <alignment horizontal="left"/>
    </xf>
    <xf borderId="3" fillId="0" fontId="2" numFmtId="15" xfId="0" applyAlignment="1" applyBorder="1" applyFont="1" applyNumberFormat="1">
      <alignment horizontal="left" readingOrder="0"/>
    </xf>
    <xf borderId="4" fillId="0" fontId="2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6" fillId="0" fontId="4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vertical="center"/>
    </xf>
    <xf borderId="4" fillId="0" fontId="3" numFmtId="0" xfId="0" applyBorder="1" applyFont="1"/>
    <xf borderId="1" fillId="0" fontId="5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18" fillId="2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20" fillId="2" fontId="4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26" fillId="0" fontId="4" numFmtId="164" xfId="0" applyAlignment="1" applyBorder="1" applyFont="1" applyNumberFormat="1">
      <alignment horizontal="center" readingOrder="0" vertical="center"/>
    </xf>
    <xf borderId="27" fillId="0" fontId="4" numFmtId="0" xfId="0" applyAlignment="1" applyBorder="1" applyFont="1">
      <alignment horizontal="center" readingOrder="0" vertical="center"/>
    </xf>
    <xf borderId="28" fillId="0" fontId="4" numFmtId="0" xfId="0" applyAlignment="1" applyBorder="1" applyFont="1">
      <alignment horizontal="center" readingOrder="0" vertical="center"/>
    </xf>
    <xf borderId="29" fillId="0" fontId="4" numFmtId="164" xfId="0" applyAlignment="1" applyBorder="1" applyFont="1" applyNumberFormat="1">
      <alignment horizontal="center" vertical="center"/>
    </xf>
    <xf borderId="30" fillId="0" fontId="4" numFmtId="0" xfId="0" applyAlignment="1" applyBorder="1" applyFont="1">
      <alignment horizontal="center" vertical="center"/>
    </xf>
    <xf borderId="31" fillId="0" fontId="4" numFmtId="164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26" fillId="0" fontId="4" numFmtId="164" xfId="0" applyAlignment="1" applyBorder="1" applyFont="1" applyNumberFormat="1">
      <alignment horizontal="center" vertical="center"/>
    </xf>
    <xf borderId="32" fillId="0" fontId="4" numFmtId="0" xfId="0" applyAlignment="1" applyBorder="1" applyFont="1">
      <alignment horizontal="center" vertical="center"/>
    </xf>
    <xf borderId="26" fillId="0" fontId="8" numFmtId="0" xfId="0" applyAlignment="1" applyBorder="1" applyFont="1">
      <alignment horizontal="center" vertical="center"/>
    </xf>
    <xf borderId="32" fillId="0" fontId="8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readingOrder="0" vertical="center"/>
    </xf>
    <xf borderId="21" fillId="0" fontId="3" numFmtId="0" xfId="0" applyBorder="1" applyFont="1"/>
    <xf borderId="24" fillId="0" fontId="3" numFmtId="0" xfId="0" applyBorder="1" applyFont="1"/>
    <xf borderId="33" fillId="0" fontId="3" numFmtId="0" xfId="0" applyBorder="1" applyFont="1"/>
    <xf borderId="22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23" fillId="0" fontId="3" numFmtId="0" xfId="0" applyBorder="1" applyFont="1"/>
    <xf borderId="29" fillId="0" fontId="4" numFmtId="164" xfId="0" applyAlignment="1" applyBorder="1" applyFont="1" applyNumberFormat="1">
      <alignment horizontal="center" readingOrder="0" vertical="center"/>
    </xf>
    <xf borderId="30" fillId="0" fontId="4" numFmtId="0" xfId="0" applyAlignment="1" applyBorder="1" applyFont="1">
      <alignment horizontal="center" readingOrder="0" vertical="center"/>
    </xf>
    <xf borderId="31" fillId="0" fontId="4" numFmtId="164" xfId="0" applyAlignment="1" applyBorder="1" applyFont="1" applyNumberFormat="1">
      <alignment horizontal="center" readingOrder="0" vertical="center"/>
    </xf>
    <xf borderId="36" fillId="0" fontId="4" numFmtId="164" xfId="0" applyAlignment="1" applyBorder="1" applyFont="1" applyNumberFormat="1">
      <alignment horizontal="center" vertical="center"/>
    </xf>
    <xf borderId="19" fillId="0" fontId="3" numFmtId="0" xfId="0" applyBorder="1" applyFont="1"/>
    <xf borderId="32" fillId="0" fontId="8" numFmtId="0" xfId="0" applyAlignment="1" applyBorder="1" applyFont="1">
      <alignment horizontal="center" readingOrder="0" vertical="center"/>
    </xf>
    <xf borderId="25" fillId="0" fontId="4" numFmtId="15" xfId="0" applyAlignment="1" applyBorder="1" applyFont="1" applyNumberFormat="1">
      <alignment horizontal="center" readingOrder="0" vertical="center"/>
    </xf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8" numFmtId="164" xfId="0" applyAlignment="1" applyBorder="1" applyFont="1" applyNumberFormat="1">
      <alignment horizontal="center" vertical="center"/>
    </xf>
    <xf borderId="41" fillId="0" fontId="4" numFmtId="164" xfId="0" applyAlignment="1" applyBorder="1" applyFont="1" applyNumberFormat="1">
      <alignment horizontal="center" vertical="center"/>
    </xf>
    <xf borderId="41" fillId="0" fontId="4" numFmtId="0" xfId="0" applyAlignment="1" applyBorder="1" applyFont="1">
      <alignment horizontal="center" vertical="center"/>
    </xf>
    <xf borderId="41" fillId="0" fontId="8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left"/>
    </xf>
    <xf borderId="42" fillId="0" fontId="3" numFmtId="0" xfId="0" applyBorder="1" applyFont="1"/>
    <xf borderId="40" fillId="0" fontId="6" numFmtId="0" xfId="0" applyAlignment="1" applyBorder="1" applyFont="1">
      <alignment horizontal="center" shrinkToFit="0" vertical="center" wrapText="1"/>
    </xf>
    <xf borderId="43" fillId="0" fontId="10" numFmtId="0" xfId="0" applyAlignment="1" applyBorder="1" applyFont="1">
      <alignment horizontal="center" vertical="center"/>
    </xf>
    <xf borderId="43" fillId="0" fontId="10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5" fillId="0" fontId="6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0" fontId="11" numFmtId="2" xfId="0" applyAlignment="1" applyBorder="1" applyFont="1" applyNumberFormat="1">
      <alignment horizontal="center" readingOrder="0" vertical="center"/>
    </xf>
    <xf borderId="48" fillId="0" fontId="6" numFmtId="0" xfId="0" applyAlignment="1" applyBorder="1" applyFont="1">
      <alignment horizontal="center" shrinkToFit="0" vertical="center" wrapText="1"/>
    </xf>
    <xf borderId="49" fillId="0" fontId="10" numFmtId="0" xfId="0" applyAlignment="1" applyBorder="1" applyFont="1">
      <alignment horizontal="center" vertical="center"/>
    </xf>
    <xf borderId="50" fillId="0" fontId="3" numFmtId="0" xfId="0" applyBorder="1" applyFont="1"/>
    <xf borderId="49" fillId="0" fontId="10" numFmtId="0" xfId="0" applyAlignment="1" applyBorder="1" applyFont="1">
      <alignment vertical="center"/>
    </xf>
    <xf borderId="11" fillId="0" fontId="10" numFmtId="0" xfId="0" applyAlignment="1" applyBorder="1" applyFont="1">
      <alignment vertical="center"/>
    </xf>
    <xf borderId="10" fillId="0" fontId="6" numFmtId="0" xfId="0" applyAlignment="1" applyBorder="1" applyFont="1">
      <alignment horizontal="center" shrinkToFit="0" vertical="center" wrapText="1"/>
    </xf>
    <xf borderId="51" fillId="0" fontId="3" numFmtId="0" xfId="0" applyBorder="1" applyFont="1"/>
    <xf borderId="34" fillId="0" fontId="11" numFmtId="2" xfId="0" applyAlignment="1" applyBorder="1" applyFont="1" applyNumberFormat="1">
      <alignment horizontal="center" readingOrder="0" vertical="center"/>
    </xf>
    <xf borderId="16" fillId="0" fontId="3" numFmtId="0" xfId="0" applyBorder="1" applyFont="1"/>
    <xf borderId="1" fillId="0" fontId="12" numFmtId="22" xfId="0" applyAlignment="1" applyBorder="1" applyFont="1" applyNumberFormat="1">
      <alignment horizontal="left" vertical="center"/>
    </xf>
    <xf borderId="1" fillId="0" fontId="1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vertical="center"/>
    </xf>
    <xf borderId="52" fillId="0" fontId="6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14" numFmtId="2" xfId="0" applyAlignment="1" applyBorder="1" applyFont="1" applyNumberFormat="1">
      <alignment horizontal="center" vertical="center"/>
    </xf>
    <xf borderId="53" fillId="0" fontId="3" numFmtId="0" xfId="0" applyBorder="1" applyFont="1"/>
    <xf borderId="25" fillId="0" fontId="3" numFmtId="0" xfId="0" applyBorder="1" applyFont="1"/>
    <xf borderId="25" fillId="0" fontId="6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horizontal="right" vertical="top"/>
    </xf>
    <xf borderId="14" fillId="0" fontId="3" numFmtId="0" xfId="0" applyBorder="1" applyFont="1"/>
    <xf borderId="25" fillId="0" fontId="15" numFmtId="0" xfId="0" applyAlignment="1" applyBorder="1" applyFont="1">
      <alignment horizontal="right"/>
    </xf>
    <xf borderId="19" fillId="0" fontId="13" numFmtId="0" xfId="0" applyAlignment="1" applyBorder="1" applyFont="1">
      <alignment vertical="center"/>
    </xf>
    <xf borderId="54" fillId="0" fontId="14" numFmtId="2" xfId="0" applyAlignment="1" applyBorder="1" applyFont="1" applyNumberFormat="1">
      <alignment horizontal="center" vertical="center"/>
    </xf>
    <xf borderId="55" fillId="0" fontId="3" numFmtId="0" xfId="0" applyBorder="1" applyFont="1"/>
    <xf borderId="52" fillId="0" fontId="15" numFmtId="0" xfId="0" applyAlignment="1" applyBorder="1" applyFont="1">
      <alignment horizontal="center" vertical="center"/>
    </xf>
    <xf borderId="36" fillId="0" fontId="3" numFmtId="0" xfId="0" applyBorder="1" applyFont="1"/>
    <xf borderId="30" fillId="0" fontId="15" numFmtId="0" xfId="0" applyAlignment="1" applyBorder="1" applyFont="1">
      <alignment horizontal="center" vertical="center"/>
    </xf>
    <xf borderId="56" fillId="0" fontId="13" numFmtId="0" xfId="0" applyAlignment="1" applyBorder="1" applyFont="1">
      <alignment vertical="center"/>
    </xf>
    <xf borderId="56" fillId="0" fontId="3" numFmtId="0" xfId="0" applyBorder="1" applyFont="1"/>
    <xf borderId="49" fillId="0" fontId="3" numFmtId="0" xfId="0" applyBorder="1" applyFont="1"/>
    <xf borderId="11" fillId="0" fontId="13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1" fillId="0" fontId="16" numFmtId="0" xfId="0" applyAlignment="1" applyBorder="1" applyFont="1">
      <alignment horizontal="center" vertical="center"/>
    </xf>
    <xf borderId="25" fillId="0" fontId="17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20</xdr:row>
      <xdr:rowOff>0</xdr:rowOff>
    </xdr:from>
    <xdr:ext cx="123825" cy="38100"/>
    <xdr:sp>
      <xdr:nvSpPr>
        <xdr:cNvPr id="3" name="Shape 3"/>
        <xdr:cNvSpPr/>
      </xdr:nvSpPr>
      <xdr:spPr>
        <a:xfrm>
          <a:off x="5284088" y="3780000"/>
          <a:ext cx="12382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-19050</xdr:colOff>
      <xdr:row>29</xdr:row>
      <xdr:rowOff>66675</xdr:rowOff>
    </xdr:from>
    <xdr:ext cx="38100" cy="142875"/>
    <xdr:sp>
      <xdr:nvSpPr>
        <xdr:cNvPr id="4" name="Shape 4"/>
        <xdr:cNvSpPr/>
      </xdr:nvSpPr>
      <xdr:spPr>
        <a:xfrm>
          <a:off x="5346000" y="3708563"/>
          <a:ext cx="0" cy="142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304800</xdr:colOff>
      <xdr:row>27</xdr:row>
      <xdr:rowOff>57150</xdr:rowOff>
    </xdr:from>
    <xdr:ext cx="196215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4.75"/>
    <col customWidth="1" min="3" max="3" width="5.38"/>
    <col customWidth="1" min="4" max="4" width="4.75"/>
    <col customWidth="1" min="5" max="5" width="5.38"/>
    <col customWidth="1" min="6" max="28" width="4.75"/>
  </cols>
  <sheetData>
    <row r="1" ht="21.75" customHeight="1">
      <c r="A1" s="1" t="s">
        <v>0</v>
      </c>
      <c r="B1" s="2" t="s">
        <v>1</v>
      </c>
      <c r="C1" s="3"/>
      <c r="D1" s="3"/>
      <c r="E1" s="3"/>
      <c r="F1" s="3"/>
      <c r="G1" s="3"/>
      <c r="H1" s="4" t="s">
        <v>2</v>
      </c>
      <c r="I1" s="5"/>
      <c r="J1" s="5"/>
      <c r="K1" s="6" t="s">
        <v>3</v>
      </c>
      <c r="L1" s="3"/>
      <c r="M1" s="3"/>
      <c r="N1" s="3"/>
      <c r="O1" s="3"/>
      <c r="P1" s="3"/>
      <c r="Q1" s="3"/>
      <c r="R1" s="3"/>
      <c r="S1" s="4" t="s">
        <v>4</v>
      </c>
      <c r="T1" s="5"/>
      <c r="U1" s="5"/>
      <c r="V1" s="5"/>
      <c r="W1" s="7">
        <v>46236.0</v>
      </c>
      <c r="X1" s="5"/>
      <c r="Y1" s="5"/>
      <c r="Z1" s="5"/>
      <c r="AA1" s="5"/>
      <c r="AB1" s="8"/>
    </row>
    <row r="2" ht="26.25" customHeight="1">
      <c r="A2" s="9" t="s">
        <v>5</v>
      </c>
      <c r="B2" s="10" t="s">
        <v>6</v>
      </c>
      <c r="C2" s="11"/>
      <c r="D2" s="12" t="s">
        <v>7</v>
      </c>
      <c r="E2" s="13"/>
      <c r="F2" s="14" t="s">
        <v>8</v>
      </c>
      <c r="G2" s="13"/>
      <c r="H2" s="14" t="s">
        <v>9</v>
      </c>
      <c r="I2" s="13"/>
      <c r="J2" s="15" t="s">
        <v>10</v>
      </c>
      <c r="K2" s="13"/>
      <c r="L2" s="15" t="s">
        <v>11</v>
      </c>
      <c r="M2" s="13"/>
      <c r="N2" s="14" t="s">
        <v>12</v>
      </c>
      <c r="O2" s="13"/>
      <c r="P2" s="15" t="s">
        <v>13</v>
      </c>
      <c r="Q2" s="13"/>
      <c r="R2" s="14" t="s">
        <v>14</v>
      </c>
      <c r="S2" s="3"/>
      <c r="T2" s="16"/>
      <c r="U2" s="11"/>
      <c r="V2" s="17" t="s">
        <v>15</v>
      </c>
      <c r="W2" s="5"/>
      <c r="X2" s="18"/>
      <c r="Y2" s="19" t="s">
        <v>16</v>
      </c>
      <c r="Z2" s="5"/>
      <c r="AA2" s="5"/>
      <c r="AB2" s="18"/>
    </row>
    <row r="3" ht="19.5" customHeight="1">
      <c r="A3" s="20" t="s">
        <v>17</v>
      </c>
      <c r="B3" s="10"/>
      <c r="C3" s="11"/>
      <c r="D3" s="21"/>
      <c r="E3" s="13"/>
      <c r="F3" s="22"/>
      <c r="G3" s="13"/>
      <c r="H3" s="23"/>
      <c r="I3" s="13"/>
      <c r="J3" s="24"/>
      <c r="K3" s="13"/>
      <c r="L3" s="22"/>
      <c r="M3" s="13"/>
      <c r="N3" s="23"/>
      <c r="O3" s="13"/>
      <c r="P3" s="22"/>
      <c r="Q3" s="3"/>
      <c r="R3" s="23"/>
      <c r="S3" s="13"/>
      <c r="T3" s="22"/>
      <c r="U3" s="11"/>
      <c r="V3" s="25"/>
      <c r="W3" s="26"/>
      <c r="X3" s="27"/>
      <c r="Y3" s="25"/>
      <c r="Z3" s="26"/>
      <c r="AA3" s="26"/>
      <c r="AB3" s="27"/>
    </row>
    <row r="4" ht="19.5" customHeight="1">
      <c r="A4" s="28" t="s">
        <v>18</v>
      </c>
      <c r="B4" s="29" t="s">
        <v>19</v>
      </c>
      <c r="C4" s="30" t="s">
        <v>20</v>
      </c>
      <c r="D4" s="29" t="s">
        <v>19</v>
      </c>
      <c r="E4" s="31" t="s">
        <v>20</v>
      </c>
      <c r="F4" s="32" t="s">
        <v>19</v>
      </c>
      <c r="G4" s="33" t="s">
        <v>20</v>
      </c>
      <c r="H4" s="34" t="s">
        <v>19</v>
      </c>
      <c r="I4" s="33" t="s">
        <v>20</v>
      </c>
      <c r="J4" s="34" t="s">
        <v>19</v>
      </c>
      <c r="K4" s="31" t="s">
        <v>20</v>
      </c>
      <c r="L4" s="32" t="s">
        <v>19</v>
      </c>
      <c r="M4" s="33" t="s">
        <v>20</v>
      </c>
      <c r="N4" s="34" t="s">
        <v>19</v>
      </c>
      <c r="O4" s="31" t="s">
        <v>20</v>
      </c>
      <c r="P4" s="32" t="s">
        <v>19</v>
      </c>
      <c r="Q4" s="33" t="s">
        <v>20</v>
      </c>
      <c r="R4" s="34" t="s">
        <v>19</v>
      </c>
      <c r="S4" s="31" t="s">
        <v>20</v>
      </c>
      <c r="T4" s="32" t="s">
        <v>19</v>
      </c>
      <c r="U4" s="30" t="s">
        <v>20</v>
      </c>
      <c r="V4" s="35" t="s">
        <v>21</v>
      </c>
      <c r="W4" s="36" t="s">
        <v>22</v>
      </c>
      <c r="X4" s="37" t="s">
        <v>23</v>
      </c>
      <c r="Y4" s="35" t="s">
        <v>24</v>
      </c>
      <c r="Z4" s="38" t="s">
        <v>25</v>
      </c>
      <c r="AA4" s="38" t="s">
        <v>26</v>
      </c>
      <c r="AB4" s="39" t="s">
        <v>23</v>
      </c>
    </row>
    <row r="5" ht="12.75" customHeight="1">
      <c r="A5" s="40" t="s">
        <v>27</v>
      </c>
      <c r="B5" s="41">
        <v>4.75</v>
      </c>
      <c r="C5" s="42">
        <v>110.0</v>
      </c>
      <c r="D5" s="41">
        <v>4.25</v>
      </c>
      <c r="E5" s="43">
        <v>40.0</v>
      </c>
      <c r="F5" s="44"/>
      <c r="G5" s="45"/>
      <c r="H5" s="46"/>
      <c r="I5" s="45"/>
      <c r="J5" s="46"/>
      <c r="K5" s="47"/>
      <c r="L5" s="44"/>
      <c r="M5" s="45"/>
      <c r="N5" s="46"/>
      <c r="O5" s="47"/>
      <c r="P5" s="44"/>
      <c r="Q5" s="45"/>
      <c r="R5" s="46"/>
      <c r="S5" s="47"/>
      <c r="T5" s="44"/>
      <c r="U5" s="48"/>
      <c r="V5" s="49">
        <f>MIN(9, SUM(B5, D5, F5, H5, J5, L5, N5, P5, R5, T5))
</f>
        <v>9</v>
      </c>
      <c r="W5" s="50">
        <f>MAX(0, SUM(B5, D5, F5, H5, J5, L5, N5, P5, R5, T5) - 9)</f>
        <v>0</v>
      </c>
      <c r="X5" s="49">
        <f>B5+D5+F5+H5+J5+L5+N5+P5+R5+T5</f>
        <v>9</v>
      </c>
      <c r="Y5" s="51">
        <f>E5+G5+I5+K5+M5+O5+Q5+S5</f>
        <v>40</v>
      </c>
      <c r="Z5" s="52">
        <f>C5</f>
        <v>110</v>
      </c>
      <c r="AA5" s="52"/>
      <c r="AB5" s="48">
        <f>sum(AA5:AA6, Z5:Z6, Y5:Y6)</f>
        <v>150</v>
      </c>
    </row>
    <row r="6" ht="12.75" customHeight="1">
      <c r="A6" s="53" t="s">
        <v>28</v>
      </c>
      <c r="B6" s="54"/>
      <c r="C6" s="55"/>
      <c r="D6" s="54"/>
      <c r="E6" s="56"/>
      <c r="F6" s="57"/>
      <c r="G6" s="58"/>
      <c r="H6" s="59"/>
      <c r="I6" s="58"/>
      <c r="J6" s="59"/>
      <c r="K6" s="56"/>
      <c r="L6" s="57"/>
      <c r="M6" s="58"/>
      <c r="N6" s="59"/>
      <c r="O6" s="56"/>
      <c r="P6" s="57"/>
      <c r="Q6" s="58"/>
      <c r="R6" s="59"/>
      <c r="S6" s="56"/>
      <c r="T6" s="57"/>
      <c r="U6" s="55"/>
      <c r="V6" s="54"/>
      <c r="W6" s="60"/>
      <c r="X6" s="54"/>
      <c r="Y6" s="54"/>
      <c r="Z6" s="60"/>
      <c r="AA6" s="60"/>
      <c r="AB6" s="55"/>
    </row>
    <row r="7" ht="12.75" customHeight="1">
      <c r="A7" s="40" t="s">
        <v>29</v>
      </c>
      <c r="B7" s="41">
        <v>1.0</v>
      </c>
      <c r="C7" s="42">
        <v>61.0</v>
      </c>
      <c r="D7" s="49"/>
      <c r="E7" s="47"/>
      <c r="F7" s="61">
        <v>8.0</v>
      </c>
      <c r="G7" s="62">
        <v>185.0</v>
      </c>
      <c r="H7" s="63">
        <v>4.5</v>
      </c>
      <c r="I7" s="62">
        <v>185.0</v>
      </c>
      <c r="J7" s="46"/>
      <c r="K7" s="47"/>
      <c r="L7" s="44"/>
      <c r="M7" s="45"/>
      <c r="N7" s="46"/>
      <c r="O7" s="47"/>
      <c r="P7" s="44"/>
      <c r="Q7" s="45"/>
      <c r="R7" s="46"/>
      <c r="S7" s="47"/>
      <c r="T7" s="44"/>
      <c r="U7" s="48"/>
      <c r="V7" s="49">
        <f>MIN(9, SUM(B7, D7, F7, H7, J7, L7, N7, P7, R7, T7))
</f>
        <v>9</v>
      </c>
      <c r="W7" s="50">
        <f>MAX(0, SUM(B7, D7, F7, H7, J7, L7, N7, P7, R7, T7) - 9)</f>
        <v>4.5</v>
      </c>
      <c r="X7" s="64">
        <f>B7+D7+F7+H7+J7+L7+N7+P7+R7+T7</f>
        <v>13.5</v>
      </c>
      <c r="Y7" s="51">
        <f>E7+G7+I7+K7+M7+O7+Q7+S7</f>
        <v>370</v>
      </c>
      <c r="Z7" s="52">
        <f>C7</f>
        <v>61</v>
      </c>
      <c r="AA7" s="52"/>
      <c r="AB7" s="48">
        <f>sum(AA7:AA8, Z7:Z8, Y7:Y8)</f>
        <v>431</v>
      </c>
    </row>
    <row r="8" ht="12.75" customHeight="1">
      <c r="A8" s="53" t="s">
        <v>30</v>
      </c>
      <c r="B8" s="54"/>
      <c r="C8" s="55"/>
      <c r="D8" s="54"/>
      <c r="E8" s="56"/>
      <c r="F8" s="57"/>
      <c r="G8" s="58"/>
      <c r="H8" s="59"/>
      <c r="I8" s="58"/>
      <c r="J8" s="59"/>
      <c r="K8" s="56"/>
      <c r="L8" s="57"/>
      <c r="M8" s="58"/>
      <c r="N8" s="59"/>
      <c r="O8" s="56"/>
      <c r="P8" s="57"/>
      <c r="Q8" s="58"/>
      <c r="R8" s="59"/>
      <c r="S8" s="56"/>
      <c r="T8" s="57"/>
      <c r="U8" s="55"/>
      <c r="V8" s="54"/>
      <c r="W8" s="60"/>
      <c r="X8" s="65"/>
      <c r="Y8" s="54"/>
      <c r="Z8" s="60"/>
      <c r="AA8" s="60"/>
      <c r="AB8" s="55"/>
    </row>
    <row r="9" ht="12.75" customHeight="1">
      <c r="A9" s="40" t="s">
        <v>31</v>
      </c>
      <c r="B9" s="49"/>
      <c r="C9" s="48"/>
      <c r="D9" s="49"/>
      <c r="E9" s="47"/>
      <c r="F9" s="61">
        <v>5.0</v>
      </c>
      <c r="G9" s="62">
        <v>185.0</v>
      </c>
      <c r="H9" s="63">
        <v>5.0</v>
      </c>
      <c r="I9" s="62">
        <v>187.0</v>
      </c>
      <c r="J9" s="63">
        <v>5.0</v>
      </c>
      <c r="K9" s="43">
        <v>50.0</v>
      </c>
      <c r="L9" s="44"/>
      <c r="M9" s="45"/>
      <c r="N9" s="63">
        <v>2.0</v>
      </c>
      <c r="O9" s="47"/>
      <c r="P9" s="44"/>
      <c r="Q9" s="45"/>
      <c r="R9" s="46"/>
      <c r="S9" s="47"/>
      <c r="T9" s="44"/>
      <c r="U9" s="48"/>
      <c r="V9" s="49">
        <f>MIN(9, SUM(B9, D9, F9, H9, J9, L9, N9, P9, R9, T9))
</f>
        <v>9</v>
      </c>
      <c r="W9" s="50">
        <f>MAX(0, SUM(B9, D9, F9, H9, J9, L9, N9, P9, R9, T9) - 9)</f>
        <v>8</v>
      </c>
      <c r="X9" s="64">
        <f>B9+D9+F9+H9+J9+L9+N9+P9+R9+T9</f>
        <v>17</v>
      </c>
      <c r="Y9" s="51">
        <f>E9+G9+I9+K9+M9+O9+Q9+S9</f>
        <v>422</v>
      </c>
      <c r="Z9" s="52" t="str">
        <f>C9</f>
        <v/>
      </c>
      <c r="AA9" s="52"/>
      <c r="AB9" s="48">
        <f>sum(AA9:AA10, Z9:Z10, Y9:Y10)</f>
        <v>422</v>
      </c>
    </row>
    <row r="10" ht="12.75" customHeight="1">
      <c r="A10" s="53" t="s">
        <v>32</v>
      </c>
      <c r="B10" s="54"/>
      <c r="C10" s="55"/>
      <c r="D10" s="54"/>
      <c r="E10" s="56"/>
      <c r="F10" s="57"/>
      <c r="G10" s="58"/>
      <c r="H10" s="59"/>
      <c r="I10" s="58"/>
      <c r="J10" s="59"/>
      <c r="K10" s="56"/>
      <c r="L10" s="57"/>
      <c r="M10" s="58"/>
      <c r="N10" s="59"/>
      <c r="O10" s="56"/>
      <c r="P10" s="57"/>
      <c r="Q10" s="58"/>
      <c r="R10" s="59"/>
      <c r="S10" s="56"/>
      <c r="T10" s="57"/>
      <c r="U10" s="55"/>
      <c r="V10" s="54"/>
      <c r="W10" s="60"/>
      <c r="X10" s="65"/>
      <c r="Y10" s="54"/>
      <c r="Z10" s="60"/>
      <c r="AA10" s="60"/>
      <c r="AB10" s="55"/>
    </row>
    <row r="11" ht="12.75" customHeight="1">
      <c r="A11" s="40" t="s">
        <v>33</v>
      </c>
      <c r="B11" s="41">
        <v>2.0</v>
      </c>
      <c r="C11" s="42">
        <v>128.0</v>
      </c>
      <c r="D11" s="49"/>
      <c r="E11" s="47"/>
      <c r="F11" s="44"/>
      <c r="G11" s="45"/>
      <c r="H11" s="63">
        <v>2.0</v>
      </c>
      <c r="I11" s="45"/>
      <c r="J11" s="46"/>
      <c r="K11" s="47"/>
      <c r="L11" s="61">
        <v>3.0</v>
      </c>
      <c r="M11" s="62">
        <v>128.0</v>
      </c>
      <c r="N11" s="63">
        <v>5.0</v>
      </c>
      <c r="O11" s="43">
        <v>128.0</v>
      </c>
      <c r="P11" s="44"/>
      <c r="Q11" s="45"/>
      <c r="R11" s="46"/>
      <c r="S11" s="47"/>
      <c r="T11" s="44"/>
      <c r="U11" s="48"/>
      <c r="V11" s="49">
        <f>MIN(9, SUM(B11, D11, F11, H11, J11, L11, N11, P11, R11, T11))
</f>
        <v>9</v>
      </c>
      <c r="W11" s="50">
        <f>MAX(0, SUM(B11, D11, F11, H11, J11, L11, N11, P11, R11, T11) - 9)</f>
        <v>3</v>
      </c>
      <c r="X11" s="64">
        <f>B11+D11+F11+H11+J11+L11+N11+P11+R11+T11</f>
        <v>12</v>
      </c>
      <c r="Y11" s="51">
        <f>E11+G11+I11+K11+M11+O11+Q11+S11</f>
        <v>256</v>
      </c>
      <c r="Z11" s="52">
        <f>C11</f>
        <v>128</v>
      </c>
      <c r="AA11" s="52"/>
      <c r="AB11" s="48">
        <f>sum(AA11:AA12, Z11:Z12, Y11:Y12)</f>
        <v>384</v>
      </c>
    </row>
    <row r="12" ht="12.75" customHeight="1">
      <c r="A12" s="53" t="s">
        <v>34</v>
      </c>
      <c r="B12" s="54"/>
      <c r="C12" s="55"/>
      <c r="D12" s="54"/>
      <c r="E12" s="56"/>
      <c r="F12" s="57"/>
      <c r="G12" s="58"/>
      <c r="H12" s="59"/>
      <c r="I12" s="58"/>
      <c r="J12" s="59"/>
      <c r="K12" s="56"/>
      <c r="L12" s="57"/>
      <c r="M12" s="58"/>
      <c r="N12" s="59"/>
      <c r="O12" s="56"/>
      <c r="P12" s="57"/>
      <c r="Q12" s="58"/>
      <c r="R12" s="59"/>
      <c r="S12" s="56"/>
      <c r="T12" s="57"/>
      <c r="U12" s="55"/>
      <c r="V12" s="54"/>
      <c r="W12" s="60"/>
      <c r="X12" s="65"/>
      <c r="Y12" s="54"/>
      <c r="Z12" s="60"/>
      <c r="AA12" s="60"/>
      <c r="AB12" s="55"/>
    </row>
    <row r="13" ht="12.75" customHeight="1">
      <c r="A13" s="40" t="s">
        <v>35</v>
      </c>
      <c r="B13" s="41">
        <v>3.0</v>
      </c>
      <c r="C13" s="42">
        <v>60.0</v>
      </c>
      <c r="D13" s="49"/>
      <c r="E13" s="47"/>
      <c r="F13" s="44"/>
      <c r="G13" s="45"/>
      <c r="H13" s="46"/>
      <c r="I13" s="45"/>
      <c r="J13" s="46"/>
      <c r="K13" s="47"/>
      <c r="L13" s="44"/>
      <c r="M13" s="45"/>
      <c r="N13" s="46"/>
      <c r="O13" s="47"/>
      <c r="P13" s="61">
        <v>1.5</v>
      </c>
      <c r="Q13" s="62">
        <v>24.0</v>
      </c>
      <c r="R13" s="63">
        <v>3.0</v>
      </c>
      <c r="S13" s="43">
        <v>166.0</v>
      </c>
      <c r="T13" s="44"/>
      <c r="U13" s="48"/>
      <c r="V13" s="49">
        <f>MIN(9, SUM(B13, D13, F13, H13, J13, L13, N13, P13, R13, T13))
</f>
        <v>7.5</v>
      </c>
      <c r="W13" s="50">
        <f>MAX(0, SUM(B13, D13, F13, H13, J13, L13, N13, P13, R13, T13) - 9)</f>
        <v>0</v>
      </c>
      <c r="X13" s="64">
        <f>B13+D13+F13+H13+J13+L13+N13+P13+R13+T13</f>
        <v>7.5</v>
      </c>
      <c r="Y13" s="51">
        <f>E13+G13+I13+K13+M13+O13+Q13+S13</f>
        <v>190</v>
      </c>
      <c r="Z13" s="52">
        <f>C13</f>
        <v>60</v>
      </c>
      <c r="AA13" s="66">
        <v>18.0</v>
      </c>
      <c r="AB13" s="48">
        <f>sum(AA13:AA14, Z13:Z14, Y13:Y14)</f>
        <v>268</v>
      </c>
    </row>
    <row r="14" ht="12.75" customHeight="1">
      <c r="A14" s="53" t="s">
        <v>36</v>
      </c>
      <c r="B14" s="54"/>
      <c r="C14" s="55"/>
      <c r="D14" s="54"/>
      <c r="E14" s="56"/>
      <c r="F14" s="57"/>
      <c r="G14" s="58"/>
      <c r="H14" s="59"/>
      <c r="I14" s="58"/>
      <c r="J14" s="59"/>
      <c r="K14" s="56"/>
      <c r="L14" s="57"/>
      <c r="M14" s="58"/>
      <c r="N14" s="59"/>
      <c r="O14" s="56"/>
      <c r="P14" s="57"/>
      <c r="Q14" s="58"/>
      <c r="R14" s="59"/>
      <c r="S14" s="56"/>
      <c r="T14" s="57"/>
      <c r="U14" s="55"/>
      <c r="V14" s="54"/>
      <c r="W14" s="60"/>
      <c r="X14" s="65"/>
      <c r="Y14" s="54"/>
      <c r="Z14" s="60"/>
      <c r="AA14" s="60"/>
      <c r="AB14" s="55"/>
    </row>
    <row r="15" ht="12.75" customHeight="1">
      <c r="A15" s="40" t="s">
        <v>37</v>
      </c>
      <c r="B15" s="49"/>
      <c r="C15" s="48"/>
      <c r="D15" s="49"/>
      <c r="E15" s="47"/>
      <c r="F15" s="44"/>
      <c r="G15" s="45"/>
      <c r="H15" s="46"/>
      <c r="I15" s="45"/>
      <c r="J15" s="46"/>
      <c r="K15" s="47"/>
      <c r="L15" s="44"/>
      <c r="M15" s="45"/>
      <c r="N15" s="46"/>
      <c r="O15" s="47"/>
      <c r="P15" s="44"/>
      <c r="Q15" s="45"/>
      <c r="R15" s="46"/>
      <c r="S15" s="47"/>
      <c r="T15" s="44"/>
      <c r="U15" s="48"/>
      <c r="V15" s="49"/>
      <c r="W15" s="50"/>
      <c r="X15" s="64"/>
      <c r="Y15" s="51">
        <f>E15+G15+I15+K15+M15+O15+Q15+S15</f>
        <v>0</v>
      </c>
      <c r="Z15" s="52" t="str">
        <f>C15</f>
        <v/>
      </c>
      <c r="AA15" s="66">
        <v>9.0</v>
      </c>
      <c r="AB15" s="48">
        <f>sum(AA15:AA16, Z15:Z16, Y15:Y16)</f>
        <v>9</v>
      </c>
    </row>
    <row r="16" ht="12.75" customHeight="1">
      <c r="A16" s="67">
        <v>46030.0</v>
      </c>
      <c r="B16" s="54"/>
      <c r="C16" s="55"/>
      <c r="D16" s="54"/>
      <c r="E16" s="56"/>
      <c r="F16" s="57"/>
      <c r="G16" s="58"/>
      <c r="H16" s="59"/>
      <c r="I16" s="58"/>
      <c r="J16" s="59"/>
      <c r="K16" s="56"/>
      <c r="L16" s="57"/>
      <c r="M16" s="58"/>
      <c r="N16" s="59"/>
      <c r="O16" s="56"/>
      <c r="P16" s="57"/>
      <c r="Q16" s="58"/>
      <c r="R16" s="59"/>
      <c r="S16" s="56"/>
      <c r="T16" s="57"/>
      <c r="U16" s="55"/>
      <c r="V16" s="54"/>
      <c r="W16" s="60"/>
      <c r="X16" s="65"/>
      <c r="Y16" s="54"/>
      <c r="Z16" s="60"/>
      <c r="AA16" s="60"/>
      <c r="AB16" s="55"/>
    </row>
    <row r="17" ht="12.75" customHeight="1">
      <c r="A17" s="40" t="s">
        <v>38</v>
      </c>
      <c r="B17" s="49"/>
      <c r="C17" s="48"/>
      <c r="D17" s="49"/>
      <c r="E17" s="47"/>
      <c r="F17" s="44"/>
      <c r="G17" s="45"/>
      <c r="H17" s="46"/>
      <c r="I17" s="45"/>
      <c r="J17" s="46"/>
      <c r="K17" s="47"/>
      <c r="L17" s="44"/>
      <c r="M17" s="45"/>
      <c r="N17" s="46"/>
      <c r="O17" s="47"/>
      <c r="P17" s="44"/>
      <c r="Q17" s="45"/>
      <c r="R17" s="46"/>
      <c r="S17" s="47"/>
      <c r="T17" s="44"/>
      <c r="U17" s="48"/>
      <c r="V17" s="49"/>
      <c r="W17" s="50"/>
      <c r="X17" s="64"/>
      <c r="Y17" s="51">
        <f>E17+G17+I17+K17+M17+O17+Q17+S17</f>
        <v>0</v>
      </c>
      <c r="Z17" s="52" t="str">
        <f>C17</f>
        <v/>
      </c>
      <c r="AA17" s="66">
        <v>34.0</v>
      </c>
      <c r="AB17" s="48">
        <f>sum(AA17:AA18, Z17:Z18, Y17:Y18)</f>
        <v>34</v>
      </c>
    </row>
    <row r="18" ht="12.75" customHeight="1">
      <c r="A18" s="67">
        <v>46061.0</v>
      </c>
      <c r="B18" s="54"/>
      <c r="C18" s="55"/>
      <c r="D18" s="54"/>
      <c r="E18" s="68"/>
      <c r="F18" s="57"/>
      <c r="G18" s="69"/>
      <c r="H18" s="59"/>
      <c r="I18" s="69"/>
      <c r="J18" s="59"/>
      <c r="K18" s="68"/>
      <c r="L18" s="57"/>
      <c r="M18" s="69"/>
      <c r="N18" s="59"/>
      <c r="O18" s="68"/>
      <c r="P18" s="57"/>
      <c r="Q18" s="69"/>
      <c r="R18" s="59"/>
      <c r="S18" s="68"/>
      <c r="T18" s="57"/>
      <c r="U18" s="70"/>
      <c r="V18" s="54"/>
      <c r="W18" s="60"/>
      <c r="X18" s="65"/>
      <c r="Y18" s="54"/>
      <c r="Z18" s="60"/>
      <c r="AA18" s="60"/>
      <c r="AB18" s="55"/>
    </row>
    <row r="19" ht="12.75" customHeight="1">
      <c r="A19" s="10" t="s">
        <v>39</v>
      </c>
      <c r="B19" s="71">
        <f t="shared" ref="B19:X19" si="1">SUM(B5:B18)</f>
        <v>10.75</v>
      </c>
      <c r="C19" s="71">
        <f t="shared" si="1"/>
        <v>359</v>
      </c>
      <c r="D19" s="71">
        <f t="shared" si="1"/>
        <v>4.25</v>
      </c>
      <c r="E19" s="71">
        <f t="shared" si="1"/>
        <v>40</v>
      </c>
      <c r="F19" s="71">
        <f t="shared" si="1"/>
        <v>13</v>
      </c>
      <c r="G19" s="71">
        <f t="shared" si="1"/>
        <v>370</v>
      </c>
      <c r="H19" s="71">
        <f t="shared" si="1"/>
        <v>11.5</v>
      </c>
      <c r="I19" s="71">
        <f t="shared" si="1"/>
        <v>372</v>
      </c>
      <c r="J19" s="71">
        <f t="shared" si="1"/>
        <v>5</v>
      </c>
      <c r="K19" s="71">
        <f t="shared" si="1"/>
        <v>50</v>
      </c>
      <c r="L19" s="71">
        <f t="shared" si="1"/>
        <v>3</v>
      </c>
      <c r="M19" s="71">
        <f t="shared" si="1"/>
        <v>128</v>
      </c>
      <c r="N19" s="71">
        <f t="shared" si="1"/>
        <v>7</v>
      </c>
      <c r="O19" s="71">
        <f t="shared" si="1"/>
        <v>128</v>
      </c>
      <c r="P19" s="71">
        <f t="shared" si="1"/>
        <v>1.5</v>
      </c>
      <c r="Q19" s="71">
        <f t="shared" si="1"/>
        <v>24</v>
      </c>
      <c r="R19" s="71">
        <f t="shared" si="1"/>
        <v>3</v>
      </c>
      <c r="S19" s="71">
        <f t="shared" si="1"/>
        <v>166</v>
      </c>
      <c r="T19" s="71">
        <f t="shared" si="1"/>
        <v>0</v>
      </c>
      <c r="U19" s="71">
        <f t="shared" si="1"/>
        <v>0</v>
      </c>
      <c r="V19" s="72">
        <f t="shared" si="1"/>
        <v>43.5</v>
      </c>
      <c r="W19" s="73">
        <f t="shared" si="1"/>
        <v>15.5</v>
      </c>
      <c r="X19" s="72">
        <f t="shared" si="1"/>
        <v>59</v>
      </c>
      <c r="Y19" s="74">
        <f>sum(Y5:Y18)</f>
        <v>1278</v>
      </c>
      <c r="Z19" s="74">
        <f t="shared" ref="Z19:AA19" si="2">SUM(Z5:Z18)</f>
        <v>359</v>
      </c>
      <c r="AA19" s="74">
        <f t="shared" si="2"/>
        <v>61</v>
      </c>
      <c r="AB19" s="74">
        <f>sum(Y19:AA19)</f>
        <v>1698</v>
      </c>
    </row>
    <row r="20" ht="12.75" customHeight="1">
      <c r="A20" s="75" t="s">
        <v>40</v>
      </c>
      <c r="AB20" s="76"/>
    </row>
    <row r="21" ht="22.5" customHeight="1">
      <c r="A21" s="77" t="s">
        <v>41</v>
      </c>
      <c r="B21" s="78"/>
      <c r="C21" s="79"/>
      <c r="D21" s="78"/>
      <c r="E21" s="79"/>
      <c r="F21" s="78"/>
      <c r="G21" s="78"/>
      <c r="H21" s="78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80"/>
      <c r="V21" s="81" t="s">
        <v>42</v>
      </c>
      <c r="W21" s="82"/>
      <c r="X21" s="83"/>
      <c r="Y21" s="81" t="s">
        <v>43</v>
      </c>
      <c r="Z21" s="84"/>
      <c r="AA21" s="85">
        <v>432290.0</v>
      </c>
      <c r="AB21" s="83"/>
    </row>
    <row r="22" ht="21.75" customHeight="1">
      <c r="A22" s="86" t="s">
        <v>44</v>
      </c>
      <c r="B22" s="87"/>
      <c r="C22" s="88"/>
      <c r="D22" s="87"/>
      <c r="E22" s="88"/>
      <c r="F22" s="87"/>
      <c r="G22" s="88"/>
      <c r="H22" s="87"/>
      <c r="I22" s="88"/>
      <c r="J22" s="89"/>
      <c r="K22" s="88"/>
      <c r="L22" s="89"/>
      <c r="M22" s="88"/>
      <c r="N22" s="89"/>
      <c r="O22" s="88"/>
      <c r="P22" s="89"/>
      <c r="Q22" s="88"/>
      <c r="R22" s="89"/>
      <c r="S22" s="88"/>
      <c r="T22" s="89"/>
      <c r="U22" s="27"/>
      <c r="V22" s="90"/>
      <c r="W22" s="26"/>
      <c r="X22" s="26"/>
      <c r="Y22" s="91" t="s">
        <v>45</v>
      </c>
      <c r="Z22" s="92"/>
      <c r="AA22" s="93">
        <v>430592.0</v>
      </c>
      <c r="AB22" s="94"/>
    </row>
    <row r="23" ht="11.25" customHeight="1">
      <c r="A23" s="95"/>
      <c r="B23" s="5"/>
      <c r="C23" s="5"/>
      <c r="D23" s="5"/>
      <c r="E23" s="5"/>
      <c r="F23" s="18"/>
      <c r="G23" s="96"/>
      <c r="H23" s="5"/>
      <c r="I23" s="5"/>
      <c r="J23" s="5"/>
      <c r="K23" s="5"/>
      <c r="L23" s="5"/>
      <c r="M23" s="5"/>
      <c r="N23" s="18"/>
      <c r="O23" s="97" t="s">
        <v>46</v>
      </c>
      <c r="P23" s="5"/>
      <c r="Q23" s="5"/>
      <c r="R23" s="5"/>
      <c r="S23" s="5"/>
      <c r="T23" s="5"/>
      <c r="U23" s="5"/>
      <c r="V23" s="5"/>
      <c r="W23" s="5"/>
      <c r="X23" s="5"/>
      <c r="Y23" s="98" t="s">
        <v>47</v>
      </c>
      <c r="Z23" s="99"/>
      <c r="AA23" s="100">
        <f>AB19</f>
        <v>1698</v>
      </c>
      <c r="AB23" s="101"/>
    </row>
    <row r="24" ht="14.25" customHeight="1">
      <c r="A24" s="102"/>
      <c r="F24" s="76"/>
      <c r="G24" s="102"/>
      <c r="N24" s="76"/>
      <c r="O24" s="103" t="s">
        <v>48</v>
      </c>
      <c r="Q24" s="104"/>
      <c r="S24" s="105" t="s">
        <v>49</v>
      </c>
      <c r="T24" s="104"/>
      <c r="W24" s="106" t="s">
        <v>50</v>
      </c>
      <c r="X24" s="104"/>
      <c r="Y24" s="107"/>
      <c r="Z24" s="57"/>
      <c r="AA24" s="58"/>
      <c r="AB24" s="94"/>
    </row>
    <row r="25" ht="25.5" customHeight="1">
      <c r="A25" s="107"/>
      <c r="B25" s="65"/>
      <c r="C25" s="65"/>
      <c r="D25" s="65"/>
      <c r="E25" s="65"/>
      <c r="F25" s="94"/>
      <c r="G25" s="102"/>
      <c r="N25" s="76"/>
      <c r="O25" s="108" t="s">
        <v>51</v>
      </c>
      <c r="Q25" s="109"/>
      <c r="R25" s="65"/>
      <c r="S25" s="65"/>
      <c r="T25" s="65"/>
      <c r="U25" s="65"/>
      <c r="V25" s="65"/>
      <c r="W25" s="65"/>
      <c r="X25" s="94"/>
      <c r="Y25" s="91" t="s">
        <v>52</v>
      </c>
      <c r="Z25" s="92"/>
      <c r="AA25" s="110">
        <f>Y19+Z19</f>
        <v>1637</v>
      </c>
      <c r="AB25" s="111"/>
    </row>
    <row r="26" ht="22.5" customHeight="1">
      <c r="A26" s="112" t="s">
        <v>53</v>
      </c>
      <c r="B26" s="113"/>
      <c r="C26" s="99"/>
      <c r="D26" s="114" t="s">
        <v>50</v>
      </c>
      <c r="E26" s="113"/>
      <c r="F26" s="101"/>
      <c r="G26" s="112" t="s">
        <v>54</v>
      </c>
      <c r="H26" s="113"/>
      <c r="I26" s="113"/>
      <c r="J26" s="113"/>
      <c r="K26" s="99"/>
      <c r="L26" s="114" t="s">
        <v>50</v>
      </c>
      <c r="M26" s="113"/>
      <c r="N26" s="101"/>
      <c r="O26" s="108" t="s">
        <v>55</v>
      </c>
      <c r="Q26" s="115"/>
      <c r="R26" s="116"/>
      <c r="S26" s="116"/>
      <c r="T26" s="116"/>
      <c r="U26" s="116"/>
      <c r="V26" s="116"/>
      <c r="W26" s="116"/>
      <c r="X26" s="111"/>
      <c r="Y26" s="98" t="s">
        <v>56</v>
      </c>
      <c r="Z26" s="99"/>
      <c r="AA26" s="100">
        <f>AA23-AA25</f>
        <v>61</v>
      </c>
      <c r="AB26" s="101"/>
    </row>
    <row r="27" ht="3.75" customHeight="1">
      <c r="A27" s="25"/>
      <c r="B27" s="26"/>
      <c r="C27" s="88"/>
      <c r="D27" s="117"/>
      <c r="E27" s="26"/>
      <c r="F27" s="27"/>
      <c r="G27" s="25"/>
      <c r="H27" s="26"/>
      <c r="I27" s="26"/>
      <c r="J27" s="26"/>
      <c r="K27" s="88"/>
      <c r="L27" s="117"/>
      <c r="M27" s="26"/>
      <c r="N27" s="27"/>
      <c r="O27" s="118"/>
      <c r="P27" s="26"/>
      <c r="Q27" s="26"/>
      <c r="R27" s="26"/>
      <c r="S27" s="26"/>
      <c r="T27" s="26"/>
      <c r="U27" s="26"/>
      <c r="V27" s="26"/>
      <c r="W27" s="26"/>
      <c r="X27" s="27"/>
      <c r="Y27" s="25"/>
      <c r="Z27" s="88"/>
      <c r="AA27" s="117"/>
      <c r="AB27" s="27"/>
    </row>
    <row r="28" ht="12.75" customHeight="1">
      <c r="A28" s="119"/>
      <c r="B28" s="5"/>
      <c r="C28" s="5"/>
      <c r="D28" s="5"/>
      <c r="E28" s="5"/>
      <c r="F28" s="18"/>
      <c r="G28" s="120" t="s">
        <v>57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18"/>
      <c r="X28" s="121" t="s">
        <v>58</v>
      </c>
      <c r="AB28" s="76"/>
    </row>
    <row r="29" ht="12.75" customHeight="1">
      <c r="A29" s="102"/>
      <c r="F29" s="76"/>
      <c r="G29" s="102"/>
      <c r="W29" s="76"/>
      <c r="X29" s="102"/>
      <c r="AB29" s="76"/>
    </row>
    <row r="30" ht="12.75" customHeight="1">
      <c r="A30" s="102"/>
      <c r="F30" s="76"/>
      <c r="G30" s="102"/>
      <c r="W30" s="76"/>
      <c r="X30" s="102"/>
      <c r="AB30" s="76"/>
    </row>
    <row r="31" ht="12.75" customHeight="1">
      <c r="A31" s="102"/>
      <c r="F31" s="76"/>
      <c r="G31" s="102"/>
      <c r="W31" s="76"/>
      <c r="X31" s="122" t="s">
        <v>59</v>
      </c>
      <c r="AB31" s="76"/>
    </row>
    <row r="32" ht="12.75" customHeight="1">
      <c r="A32" s="25"/>
      <c r="B32" s="26"/>
      <c r="C32" s="26"/>
      <c r="D32" s="26"/>
      <c r="E32" s="26"/>
      <c r="F32" s="27"/>
      <c r="G32" s="25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7"/>
      <c r="X32" s="25"/>
      <c r="Y32" s="26"/>
      <c r="Z32" s="26"/>
      <c r="AA32" s="26"/>
      <c r="AB32" s="27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58">
    <mergeCell ref="P9:P10"/>
    <mergeCell ref="Q9:Q10"/>
    <mergeCell ref="I9:I10"/>
    <mergeCell ref="J9:J10"/>
    <mergeCell ref="K9:K10"/>
    <mergeCell ref="L9:L10"/>
    <mergeCell ref="M9:M10"/>
    <mergeCell ref="N9:N10"/>
    <mergeCell ref="O9:O10"/>
    <mergeCell ref="I11:I12"/>
    <mergeCell ref="J11:J12"/>
    <mergeCell ref="K11:K12"/>
    <mergeCell ref="L11:L12"/>
    <mergeCell ref="M11:M12"/>
    <mergeCell ref="N11:N12"/>
    <mergeCell ref="O11:O12"/>
    <mergeCell ref="W11:W12"/>
    <mergeCell ref="X11:X12"/>
    <mergeCell ref="Y11:Y12"/>
    <mergeCell ref="Z11:Z12"/>
    <mergeCell ref="AA11:AA12"/>
    <mergeCell ref="AB11:AB12"/>
    <mergeCell ref="AA13:AA14"/>
    <mergeCell ref="AB13:AB14"/>
    <mergeCell ref="B11:B12"/>
    <mergeCell ref="C11:C12"/>
    <mergeCell ref="D11:D12"/>
    <mergeCell ref="E11:E12"/>
    <mergeCell ref="F11:F12"/>
    <mergeCell ref="G11:G12"/>
    <mergeCell ref="H11:H12"/>
    <mergeCell ref="B13:B14"/>
    <mergeCell ref="C13:C14"/>
    <mergeCell ref="D13:D14"/>
    <mergeCell ref="E13:E14"/>
    <mergeCell ref="F13:F14"/>
    <mergeCell ref="G13:G14"/>
    <mergeCell ref="H13:H14"/>
    <mergeCell ref="P11:P12"/>
    <mergeCell ref="Q11:Q12"/>
    <mergeCell ref="R11:R12"/>
    <mergeCell ref="S11:S12"/>
    <mergeCell ref="T11:T12"/>
    <mergeCell ref="U11:U12"/>
    <mergeCell ref="V11:V12"/>
    <mergeCell ref="I15:I16"/>
    <mergeCell ref="J15:J16"/>
    <mergeCell ref="K15:K16"/>
    <mergeCell ref="L15:L16"/>
    <mergeCell ref="M15:M16"/>
    <mergeCell ref="N15:N16"/>
    <mergeCell ref="O15:O16"/>
    <mergeCell ref="B15:B16"/>
    <mergeCell ref="C15:C16"/>
    <mergeCell ref="D15:D16"/>
    <mergeCell ref="E15:E16"/>
    <mergeCell ref="F15:F16"/>
    <mergeCell ref="G15:G16"/>
    <mergeCell ref="H15:H16"/>
    <mergeCell ref="P22:Q22"/>
    <mergeCell ref="R22:S22"/>
    <mergeCell ref="T22:U22"/>
    <mergeCell ref="V22:X22"/>
    <mergeCell ref="Y22:Z22"/>
    <mergeCell ref="AA22:AB22"/>
    <mergeCell ref="B22:C22"/>
    <mergeCell ref="D22:E22"/>
    <mergeCell ref="F22:G22"/>
    <mergeCell ref="H22:I22"/>
    <mergeCell ref="J22:K22"/>
    <mergeCell ref="L22:M22"/>
    <mergeCell ref="N22:O22"/>
    <mergeCell ref="Q25:X25"/>
    <mergeCell ref="Y25:Z25"/>
    <mergeCell ref="A23:F25"/>
    <mergeCell ref="G23:N25"/>
    <mergeCell ref="O23:X23"/>
    <mergeCell ref="Y23:Z24"/>
    <mergeCell ref="AA23:AB24"/>
    <mergeCell ref="Q24:R24"/>
    <mergeCell ref="T24:V24"/>
    <mergeCell ref="AA25:AB25"/>
    <mergeCell ref="Q26:X26"/>
    <mergeCell ref="Y26:Z27"/>
    <mergeCell ref="AA26:AB27"/>
    <mergeCell ref="O27:X27"/>
    <mergeCell ref="O24:P24"/>
    <mergeCell ref="O25:P25"/>
    <mergeCell ref="A26:C27"/>
    <mergeCell ref="D26:F27"/>
    <mergeCell ref="G26:K27"/>
    <mergeCell ref="L26:N27"/>
    <mergeCell ref="O26:P26"/>
    <mergeCell ref="P13:P14"/>
    <mergeCell ref="Q13:Q14"/>
    <mergeCell ref="I13:I14"/>
    <mergeCell ref="J13:J14"/>
    <mergeCell ref="K13:K14"/>
    <mergeCell ref="L13:L14"/>
    <mergeCell ref="M13:M14"/>
    <mergeCell ref="N13:N14"/>
    <mergeCell ref="O13:O14"/>
    <mergeCell ref="B17:B18"/>
    <mergeCell ref="C17:C18"/>
    <mergeCell ref="D17:D18"/>
    <mergeCell ref="E17:E18"/>
    <mergeCell ref="F17:F18"/>
    <mergeCell ref="G17:G18"/>
    <mergeCell ref="H17:H18"/>
    <mergeCell ref="A20:AB20"/>
    <mergeCell ref="P15:P16"/>
    <mergeCell ref="Q15:Q16"/>
    <mergeCell ref="R15:R16"/>
    <mergeCell ref="S15:S16"/>
    <mergeCell ref="T15:T16"/>
    <mergeCell ref="U15:U16"/>
    <mergeCell ref="V15:V16"/>
    <mergeCell ref="X15:X16"/>
    <mergeCell ref="V21:X21"/>
    <mergeCell ref="Y21:Z21"/>
    <mergeCell ref="AA21:AB21"/>
    <mergeCell ref="W15:W16"/>
    <mergeCell ref="Y15:Y16"/>
    <mergeCell ref="Z15:Z16"/>
    <mergeCell ref="AA15:AA16"/>
    <mergeCell ref="AB15:AB16"/>
    <mergeCell ref="AA17:AA18"/>
    <mergeCell ref="AB17:AB18"/>
    <mergeCell ref="A28:F32"/>
    <mergeCell ref="G28:W32"/>
    <mergeCell ref="X28:AB30"/>
    <mergeCell ref="X31:AB32"/>
    <mergeCell ref="AA5:AA6"/>
    <mergeCell ref="AB5:AB6"/>
    <mergeCell ref="T5:T6"/>
    <mergeCell ref="U5:U6"/>
    <mergeCell ref="V5:V6"/>
    <mergeCell ref="W5:W6"/>
    <mergeCell ref="X5:X6"/>
    <mergeCell ref="Y5:Y6"/>
    <mergeCell ref="Z5:Z6"/>
    <mergeCell ref="J2:K2"/>
    <mergeCell ref="L2:M2"/>
    <mergeCell ref="J3:K3"/>
    <mergeCell ref="L3:M3"/>
    <mergeCell ref="R2:S2"/>
    <mergeCell ref="T2:U2"/>
    <mergeCell ref="V2:X3"/>
    <mergeCell ref="Y2:AB3"/>
    <mergeCell ref="R3:S3"/>
    <mergeCell ref="T3:U3"/>
    <mergeCell ref="B1:G1"/>
    <mergeCell ref="H1:J1"/>
    <mergeCell ref="K1:R1"/>
    <mergeCell ref="S1:V1"/>
    <mergeCell ref="W1:AA1"/>
    <mergeCell ref="B2:C2"/>
    <mergeCell ref="D2:E2"/>
    <mergeCell ref="C5:C6"/>
    <mergeCell ref="D5:D6"/>
    <mergeCell ref="E5:E6"/>
    <mergeCell ref="F5:F6"/>
    <mergeCell ref="F2:G2"/>
    <mergeCell ref="H2:I2"/>
    <mergeCell ref="B3:C3"/>
    <mergeCell ref="D3:E3"/>
    <mergeCell ref="F3:G3"/>
    <mergeCell ref="H3:I3"/>
    <mergeCell ref="B5:B6"/>
    <mergeCell ref="I5:I6"/>
    <mergeCell ref="N2:O2"/>
    <mergeCell ref="P2:Q2"/>
    <mergeCell ref="N3:O3"/>
    <mergeCell ref="P3:Q3"/>
    <mergeCell ref="Q5:Q6"/>
    <mergeCell ref="R5:R6"/>
    <mergeCell ref="S5:S6"/>
    <mergeCell ref="Y9:Y10"/>
    <mergeCell ref="Z9:Z10"/>
    <mergeCell ref="R9:R10"/>
    <mergeCell ref="S9:S10"/>
    <mergeCell ref="T9:T10"/>
    <mergeCell ref="U9:U10"/>
    <mergeCell ref="V9:V10"/>
    <mergeCell ref="W9:W10"/>
    <mergeCell ref="X9:X10"/>
    <mergeCell ref="O5:O6"/>
    <mergeCell ref="P5:P6"/>
    <mergeCell ref="G5:G6"/>
    <mergeCell ref="H5:H6"/>
    <mergeCell ref="J5:J6"/>
    <mergeCell ref="K5:K6"/>
    <mergeCell ref="L5:L6"/>
    <mergeCell ref="M5:M6"/>
    <mergeCell ref="N5:N6"/>
    <mergeCell ref="I7:I8"/>
    <mergeCell ref="J7:J8"/>
    <mergeCell ref="K7:K8"/>
    <mergeCell ref="L7:L8"/>
    <mergeCell ref="M7:M8"/>
    <mergeCell ref="N7:N8"/>
    <mergeCell ref="O7:O8"/>
    <mergeCell ref="W7:W8"/>
    <mergeCell ref="X7:X8"/>
    <mergeCell ref="Y7:Y8"/>
    <mergeCell ref="Z7:Z8"/>
    <mergeCell ref="AA7:AA8"/>
    <mergeCell ref="AB7:AB8"/>
    <mergeCell ref="AA9:AA10"/>
    <mergeCell ref="AB9:AB10"/>
    <mergeCell ref="B7:B8"/>
    <mergeCell ref="C7:C8"/>
    <mergeCell ref="D7:D8"/>
    <mergeCell ref="E7:E8"/>
    <mergeCell ref="F7:F8"/>
    <mergeCell ref="G7:G8"/>
    <mergeCell ref="H7:H8"/>
    <mergeCell ref="B9:B10"/>
    <mergeCell ref="C9:C10"/>
    <mergeCell ref="D9:D10"/>
    <mergeCell ref="E9:E10"/>
    <mergeCell ref="F9:F10"/>
    <mergeCell ref="G9:G10"/>
    <mergeCell ref="H9:H10"/>
    <mergeCell ref="P7:P8"/>
    <mergeCell ref="Q7:Q8"/>
    <mergeCell ref="R7:R8"/>
    <mergeCell ref="S7:S8"/>
    <mergeCell ref="T7:T8"/>
    <mergeCell ref="U7:U8"/>
    <mergeCell ref="V7:V8"/>
    <mergeCell ref="Y13:Y14"/>
    <mergeCell ref="Z13:Z14"/>
    <mergeCell ref="R13:R14"/>
    <mergeCell ref="S13:S14"/>
    <mergeCell ref="T13:T14"/>
    <mergeCell ref="U13:U14"/>
    <mergeCell ref="V13:V14"/>
    <mergeCell ref="W13:W14"/>
    <mergeCell ref="X13:X14"/>
    <mergeCell ref="P17:P18"/>
    <mergeCell ref="Q17:Q18"/>
    <mergeCell ref="I17:I18"/>
    <mergeCell ref="J17:J18"/>
    <mergeCell ref="K17:K18"/>
    <mergeCell ref="L17:L18"/>
    <mergeCell ref="M17:M18"/>
    <mergeCell ref="N17:N18"/>
    <mergeCell ref="O17:O18"/>
    <mergeCell ref="Y17:Y18"/>
    <mergeCell ref="Z17:Z18"/>
    <mergeCell ref="R17:R18"/>
    <mergeCell ref="S17:S18"/>
    <mergeCell ref="T17:T18"/>
    <mergeCell ref="U17:U18"/>
    <mergeCell ref="V17:V18"/>
    <mergeCell ref="W17:W18"/>
    <mergeCell ref="X17:X18"/>
  </mergeCells>
  <printOptions horizontalCentered="1" verticalCentered="1"/>
  <pageMargins bottom="0.7480314960629921" footer="0.0" header="0.0" left="0.2362204724409449" right="0.2362204724409449" top="0.5511811023622047"/>
  <pageSetup fitToWidth="0" paperSize="9" orientation="landscape"/>
  <headerFooter>
    <oddHeader>&amp;C&amp;A</oddHeader>
    <oddFooter>&amp;CPage &amp;P</oddFooter>
  </headerFooter>
  <drawing r:id="rId1"/>
</worksheet>
</file>