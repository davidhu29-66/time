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." state="visible" r:id="rId4"/>
  </sheets>
  <calcPr calcId="171027"/>
</workbook>
</file>

<file path=xl/sharedStrings.xml><?xml version="1.0" encoding="utf-8"?>
<sst xmlns="http://schemas.openxmlformats.org/spreadsheetml/2006/main" count="72" uniqueCount="50">
  <si>
    <t>NAME:</t>
  </si>
  <si>
    <t>David</t>
  </si>
  <si>
    <t>REGION:</t>
  </si>
  <si>
    <t>Western Cape</t>
  </si>
  <si>
    <t>WEEK ENDING:</t>
  </si>
  <si>
    <t>CLIENT:</t>
  </si>
  <si>
    <t>Admin</t>
  </si>
  <si>
    <t>SBM NOC (Control Room)</t>
  </si>
  <si>
    <t>TOTAL HOURS</t>
  </si>
  <si>
    <t>TOTAL KM'S</t>
  </si>
  <si>
    <t>JOB NO:</t>
  </si>
  <si>
    <t>1001</t>
  </si>
  <si>
    <t>1058</t>
  </si>
  <si>
    <r>
      <rPr>
        <b/>
        <color theme="1"/>
        <sz val="8"/>
        <rFont val="Arial"/>
      </rPr>
      <t xml:space="preserve">DATE </t>
    </r>
    <r>
      <rPr>
        <b/>
        <color theme="1"/>
        <sz val="8"/>
        <rFont val="Symbol"/>
      </rPr>
      <t>¯</t>
    </r>
  </si>
  <si>
    <t>HRS</t>
  </si>
  <si>
    <t>KM</t>
  </si>
  <si>
    <t>NOR</t>
  </si>
  <si>
    <t>O / T</t>
  </si>
  <si>
    <t>TOT</t>
  </si>
  <si>
    <t>CH</t>
  </si>
  <si>
    <t>ADM</t>
  </si>
  <si>
    <t>PVTE</t>
  </si>
  <si>
    <t>Monday</t>
  </si>
  <si>
    <t>Tuesday</t>
  </si>
  <si>
    <t>Wednesday</t>
  </si>
  <si>
    <t>Thursday</t>
  </si>
  <si>
    <t>Friday</t>
  </si>
  <si>
    <t>Saturday</t>
  </si>
  <si>
    <t>Sunday</t>
  </si>
  <si>
    <t>TOTAL WORKED</t>
  </si>
  <si>
    <t>OFFICE USE</t>
  </si>
  <si>
    <t>TOTAL CLAIMED</t>
  </si>
  <si>
    <t>OVERTIME AUTHORISED</t>
  </si>
  <si>
    <t>CLOSING KM'S</t>
  </si>
  <si>
    <t xml:space="preserve">INVOICE NO. </t>
  </si>
  <si>
    <t>OPENING KM'S</t>
  </si>
  <si>
    <t>OFFICE USE:</t>
  </si>
  <si>
    <t>KM'S TRAVELED</t>
  </si>
  <si>
    <t>CAPTURED:</t>
  </si>
  <si>
    <t>BY</t>
  </si>
  <si>
    <t>DATE</t>
  </si>
  <si>
    <t>SALARIES:</t>
  </si>
  <si>
    <t>Total CH/ADM</t>
  </si>
  <si>
    <t>SIGNATURE OF WORKER</t>
  </si>
  <si>
    <t>SIGNATURE OF MANAGER</t>
  </si>
  <si>
    <t>ACCOUNTS:</t>
  </si>
  <si>
    <t>VARIANCE</t>
  </si>
  <si>
    <t>WEEKLY TIME SHEET</t>
  </si>
  <si>
    <t>HR-018</t>
  </si>
  <si>
    <t>Rev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</si>
</sst>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-mm"/>
  </numFmts>
  <fonts count="18" x14ac:knownFonts="1">
    <font>
      <color theme="1"/>
      <family val="2"/>
      <scheme val="minor"/>
      <sz val="11"/>
      <name val="Calibri"/>
    </font>
    <font>
      <b/>
      <color rgb="FF000000"/>
      <sz val="13"/>
      <name val="Arial"/>
    </font>
    <font>
      <b/>
      <color rgb="FF000000"/>
      <sz val="12"/>
      <name val="Arial"/>
    </font>
    <font/>
    <font>
      <b/>
      <color rgb="FF000000"/>
      <sz val="8"/>
      <name val="Arial"/>
    </font>
    <font>
      <b/>
      <color rgb="FF000000"/>
      <sz val="9"/>
      <name val="Arial"/>
    </font>
    <font>
      <b/>
      <color theme="1"/>
      <sz val="8"/>
      <name val="Arial"/>
    </font>
    <font>
      <b/>
      <u/>
      <color rgb="FF000000"/>
      <sz val="9"/>
      <name val="Arial"/>
    </font>
    <font>
      <color rgb="FF000000"/>
      <sz val="8"/>
      <name val="Arial"/>
    </font>
    <font>
      <b/>
      <i/>
      <color theme="1"/>
      <sz val="7"/>
      <name val="Arial"/>
    </font>
    <font>
      <color theme="1"/>
      <sz val="9"/>
      <name val="Arial"/>
    </font>
    <font>
      <b/>
      <color rgb="FFFF0000"/>
      <sz val="9"/>
      <name val="Arial"/>
    </font>
    <font>
      <b/>
      <color theme="1"/>
      <sz val="14"/>
      <name val="Arial"/>
    </font>
    <font>
      <color theme="1"/>
      <sz val="10"/>
      <name val="Arial"/>
    </font>
    <font>
      <b/>
      <color theme="1"/>
      <sz val="9"/>
      <name val="Arial"/>
    </font>
    <font>
      <color theme="1"/>
      <sz val="8"/>
      <name val="Arial"/>
    </font>
    <font>
      <b/>
      <color theme="1"/>
      <sz val="20"/>
      <name val="Arial"/>
    </font>
    <font>
      <u/>
      <color theme="1"/>
      <sz val="12"/>
      <name val="Arial"/>
    </font>
  </fonts>
  <fills count="3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</fills>
  <borders count="5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dotted">
        <color rgb="FF000000"/>
      </right>
      <top style="medium">
        <color rgb="FF000000"/>
      </top>
      <bottom style="medium">
        <color rgb="FF000000"/>
      </bottom>
      <diagonal/>
    </border>
    <border>
      <left style="dotted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dotted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dotted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dotted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dotted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dotted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dotted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2">
    <xf numFmtId="0" fontId="0" fillId="0" borderId="0" xfId="0"/>
    <xf numFmtId="0" fontId="1" fillId="0" borderId="1" xfId="0" applyFont="1" applyBorder="1" applyAlignment="1">
      <alignment horizontal="right"/>
    </xf>
    <xf numFmtId="0" fontId="2" fillId="0" borderId="2" xfId="0" applyFont="1" applyBorder="1" applyAlignment="1">
      <alignment horizontal="left" readingOrder="1"/>
    </xf>
    <xf numFmtId="0" fontId="3" fillId="0" borderId="2" xfId="0" applyFont="1" applyBorder="1"/>
    <xf numFmtId="0" fontId="2" fillId="0" borderId="3" xfId="0" applyFont="1" applyBorder="1" applyAlignment="1">
      <alignment horizontal="right"/>
    </xf>
    <xf numFmtId="0" fontId="3" fillId="0" borderId="3" xfId="0" applyFont="1" applyBorder="1"/>
    <xf numFmtId="0" fontId="2" fillId="0" borderId="2" xfId="0" applyFont="1" applyBorder="1" applyAlignment="1">
      <alignment horizontal="left"/>
    </xf>
    <xf numFmtId="15" fontId="2" fillId="0" borderId="3" xfId="0" applyNumberFormat="1" applyFont="1" applyBorder="1" applyAlignment="1">
      <alignment horizontal="left" readingOrder="1"/>
    </xf>
    <xf numFmtId="0" fontId="2" fillId="0" borderId="4" xfId="0" applyFont="1" applyBorder="1"/>
    <xf numFmtId="0" fontId="4" fillId="0" borderId="5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3" fillId="0" borderId="7" xfId="0" applyFont="1" applyBorder="1"/>
    <xf numFmtId="0" fontId="4" fillId="0" borderId="6" xfId="0" applyFont="1" applyBorder="1" applyAlignment="1">
      <alignment horizontal="center" vertical="center" wrapText="1" readingOrder="1"/>
    </xf>
    <xf numFmtId="0" fontId="3" fillId="0" borderId="8" xfId="0" applyFont="1" applyBorder="1"/>
    <xf numFmtId="0" fontId="4" fillId="0" borderId="2" xfId="0" applyFont="1" applyBorder="1" applyAlignment="1">
      <alignment horizontal="center" vertical="center" wrapText="1" readingOrder="1"/>
    </xf>
    <xf numFmtId="0" fontId="4" fillId="0" borderId="9" xfId="0" applyFont="1" applyBorder="1" applyAlignment="1">
      <alignment horizontal="center" vertical="center" wrapText="1" readingOrder="1"/>
    </xf>
    <xf numFmtId="0" fontId="4" fillId="0" borderId="2" xfId="0" applyFont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/>
    </xf>
    <xf numFmtId="0" fontId="3" fillId="0" borderId="4" xfId="0" applyFont="1" applyBorder="1"/>
    <xf numFmtId="0" fontId="5" fillId="0" borderId="1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 wrapText="1"/>
    </xf>
    <xf numFmtId="0" fontId="3" fillId="0" borderId="11" xfId="0" applyFont="1" applyBorder="1"/>
    <xf numFmtId="0" fontId="3" fillId="0" borderId="12" xfId="0" applyFont="1" applyBorder="1"/>
    <xf numFmtId="0" fontId="3" fillId="0" borderId="13" xfId="0" applyFont="1" applyBorder="1"/>
    <xf numFmtId="0" fontId="6" fillId="0" borderId="14" xfId="0" applyFont="1" applyBorder="1" applyAlignment="1">
      <alignment horizontal="center" vertical="center" wrapText="1"/>
    </xf>
    <xf numFmtId="0" fontId="4" fillId="2" borderId="15" xfId="0" applyFont="1" applyFill="1" applyBorder="1" applyAlignment="1">
      <alignment horizontal="center" vertical="center" wrapText="1"/>
    </xf>
    <xf numFmtId="0" fontId="4" fillId="0" borderId="16" xfId="0" applyFont="1" applyBorder="1" applyAlignment="1">
      <alignment horizontal="center" vertical="center" wrapText="1"/>
    </xf>
    <xf numFmtId="0" fontId="4" fillId="0" borderId="17" xfId="0" applyFont="1" applyBorder="1" applyAlignment="1">
      <alignment horizontal="center" vertical="center" wrapText="1"/>
    </xf>
    <xf numFmtId="0" fontId="4" fillId="2" borderId="18" xfId="0" applyFont="1" applyFill="1" applyBorder="1" applyAlignment="1">
      <alignment horizontal="center" vertical="center" wrapText="1"/>
    </xf>
    <xf numFmtId="0" fontId="4" fillId="0" borderId="19" xfId="0" applyFont="1" applyBorder="1" applyAlignment="1">
      <alignment horizontal="center" vertical="center" wrapText="1"/>
    </xf>
    <xf numFmtId="0" fontId="4" fillId="2" borderId="20" xfId="0" applyFont="1" applyFill="1" applyBorder="1" applyAlignment="1">
      <alignment horizontal="center" vertical="center" wrapText="1"/>
    </xf>
    <xf numFmtId="0" fontId="4" fillId="0" borderId="15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4" fillId="0" borderId="22" xfId="0" applyFont="1" applyBorder="1" applyAlignment="1">
      <alignment horizontal="center" vertical="center"/>
    </xf>
    <xf numFmtId="0" fontId="7" fillId="0" borderId="23" xfId="0" applyFont="1" applyBorder="1" applyAlignment="1">
      <alignment horizontal="center" vertical="center"/>
    </xf>
    <xf numFmtId="12" fontId="4" fillId="0" borderId="24" xfId="0" applyNumberFormat="1" applyFont="1" applyBorder="1" applyAlignment="1">
      <alignment horizontal="center" vertical="center" readingOrder="1"/>
    </xf>
    <xf numFmtId="0" fontId="4" fillId="0" borderId="25" xfId="0" applyFont="1" applyBorder="1" applyAlignment="1">
      <alignment horizontal="center" vertical="center" readingOrder="1"/>
    </xf>
    <xf numFmtId="0" fontId="4" fillId="0" borderId="26" xfId="0" applyFont="1" applyBorder="1" applyAlignment="1">
      <alignment horizontal="center" vertical="center" readingOrder="1"/>
    </xf>
    <xf numFmtId="12" fontId="4" fillId="0" borderId="27" xfId="0" applyNumberFormat="1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/>
    </xf>
    <xf numFmtId="12" fontId="4" fillId="0" borderId="29" xfId="0" applyNumberFormat="1" applyFont="1" applyBorder="1" applyAlignment="1">
      <alignment horizontal="center" vertical="center"/>
    </xf>
    <xf numFmtId="0" fontId="4" fillId="0" borderId="26" xfId="0" applyFont="1" applyBorder="1" applyAlignment="1">
      <alignment horizontal="center" vertical="center"/>
    </xf>
    <xf numFmtId="0" fontId="4" fillId="0" borderId="25" xfId="0" applyFont="1" applyBorder="1" applyAlignment="1">
      <alignment horizontal="center" vertical="center"/>
    </xf>
    <xf numFmtId="12" fontId="4" fillId="0" borderId="24" xfId="0" applyNumberFormat="1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8" fillId="0" borderId="24" xfId="0" applyFont="1" applyBorder="1" applyAlignment="1">
      <alignment horizontal="center" vertical="center"/>
    </xf>
    <xf numFmtId="0" fontId="8" fillId="0" borderId="30" xfId="0" applyFont="1" applyBorder="1" applyAlignment="1">
      <alignment horizontal="center" vertical="center"/>
    </xf>
    <xf numFmtId="164" fontId="4" fillId="0" borderId="23" xfId="0" applyNumberFormat="1" applyFont="1" applyBorder="1" applyAlignment="1">
      <alignment horizontal="center" vertical="center" readingOrder="1"/>
    </xf>
    <xf numFmtId="0" fontId="3" fillId="0" borderId="15" xfId="0" applyFont="1" applyBorder="1"/>
    <xf numFmtId="0" fontId="3" fillId="0" borderId="22" xfId="0" applyFont="1" applyBorder="1"/>
    <xf numFmtId="0" fontId="3" fillId="0" borderId="31" xfId="0" applyFont="1" applyBorder="1"/>
    <xf numFmtId="0" fontId="3" fillId="0" borderId="18" xfId="0" applyFont="1" applyBorder="1"/>
    <xf numFmtId="0" fontId="3" fillId="0" borderId="32" xfId="0" applyFont="1" applyBorder="1"/>
    <xf numFmtId="0" fontId="3" fillId="0" borderId="20" xfId="0" applyFont="1" applyBorder="1"/>
    <xf numFmtId="0" fontId="3" fillId="0" borderId="21" xfId="0" applyFont="1" applyBorder="1"/>
    <xf numFmtId="12" fontId="4" fillId="0" borderId="27" xfId="0" applyNumberFormat="1" applyFont="1" applyBorder="1" applyAlignment="1">
      <alignment horizontal="center" vertical="center" readingOrder="1"/>
    </xf>
    <xf numFmtId="0" fontId="4" fillId="0" borderId="28" xfId="0" applyFont="1" applyBorder="1" applyAlignment="1">
      <alignment horizontal="center" vertical="center" readingOrder="1"/>
    </xf>
    <xf numFmtId="12" fontId="4" fillId="0" borderId="29" xfId="0" applyNumberFormat="1" applyFont="1" applyBorder="1" applyAlignment="1">
      <alignment horizontal="center" vertical="center" readingOrder="1"/>
    </xf>
    <xf numFmtId="12" fontId="4" fillId="0" borderId="33" xfId="0" applyNumberFormat="1" applyFont="1" applyBorder="1" applyAlignment="1">
      <alignment horizontal="center" vertical="center"/>
    </xf>
    <xf numFmtId="0" fontId="3" fillId="0" borderId="19" xfId="0" applyFont="1" applyBorder="1"/>
    <xf numFmtId="0" fontId="8" fillId="0" borderId="30" xfId="0" applyFont="1" applyBorder="1" applyAlignment="1">
      <alignment horizontal="center" vertical="center" readingOrder="1"/>
    </xf>
    <xf numFmtId="0" fontId="3" fillId="0" borderId="34" xfId="0" applyFont="1" applyBorder="1"/>
    <xf numFmtId="0" fontId="3" fillId="0" borderId="35" xfId="0" applyFont="1" applyBorder="1"/>
    <xf numFmtId="0" fontId="3" fillId="0" borderId="36" xfId="0" applyFont="1" applyBorder="1"/>
    <xf numFmtId="12" fontId="8" fillId="0" borderId="37" xfId="0" applyNumberFormat="1" applyFont="1" applyBorder="1" applyAlignment="1">
      <alignment horizontal="center" vertical="center"/>
    </xf>
    <xf numFmtId="12" fontId="4" fillId="0" borderId="38" xfId="0" applyNumberFormat="1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  <xf numFmtId="0" fontId="8" fillId="0" borderId="38" xfId="0" applyFont="1" applyBorder="1" applyAlignment="1">
      <alignment horizontal="center" vertical="center"/>
    </xf>
    <xf numFmtId="0" fontId="9" fillId="0" borderId="23" xfId="0" applyFont="1" applyBorder="1" applyAlignment="1">
      <alignment horizontal="left"/>
    </xf>
    <xf numFmtId="0" fontId="3" fillId="0" borderId="39" xfId="0" applyFont="1" applyBorder="1"/>
    <xf numFmtId="0" fontId="6" fillId="0" borderId="37" xfId="0" applyFont="1" applyBorder="1" applyAlignment="1">
      <alignment horizontal="center" vertical="center" wrapText="1"/>
    </xf>
    <xf numFmtId="0" fontId="10" fillId="0" borderId="40" xfId="0" applyFont="1" applyBorder="1" applyAlignment="1">
      <alignment horizontal="center" vertical="center"/>
    </xf>
    <xf numFmtId="0" fontId="10" fillId="0" borderId="40" xfId="0" applyFont="1" applyBorder="1" applyAlignment="1">
      <alignment vertical="center"/>
    </xf>
    <xf numFmtId="0" fontId="10" fillId="0" borderId="7" xfId="0" applyFont="1" applyBorder="1" applyAlignment="1">
      <alignment vertical="center"/>
    </xf>
    <xf numFmtId="0" fontId="6" fillId="0" borderId="5" xfId="0" applyFont="1" applyBorder="1" applyAlignment="1">
      <alignment horizontal="center" vertical="center" wrapText="1"/>
    </xf>
    <xf numFmtId="0" fontId="3" fillId="0" borderId="41" xfId="0" applyFont="1" applyBorder="1"/>
    <xf numFmtId="0" fontId="3" fillId="0" borderId="42" xfId="0" applyFont="1" applyBorder="1"/>
    <xf numFmtId="0" fontId="3" fillId="0" borderId="43" xfId="0" applyFont="1" applyBorder="1"/>
    <xf numFmtId="2" fontId="11" fillId="0" borderId="44" xfId="0" applyNumberFormat="1" applyFont="1" applyBorder="1" applyAlignment="1">
      <alignment horizontal="center" vertical="center" readingOrder="1"/>
    </xf>
    <xf numFmtId="0" fontId="6" fillId="0" borderId="45" xfId="0" applyFont="1" applyBorder="1" applyAlignment="1">
      <alignment horizontal="center" vertical="center" wrapText="1"/>
    </xf>
    <xf numFmtId="0" fontId="10" fillId="0" borderId="46" xfId="0" applyFont="1" applyBorder="1" applyAlignment="1">
      <alignment horizontal="center" vertical="center"/>
    </xf>
    <xf numFmtId="0" fontId="3" fillId="0" borderId="47" xfId="0" applyFont="1" applyBorder="1"/>
    <xf numFmtId="0" fontId="10" fillId="0" borderId="46" xfId="0" applyFont="1" applyBorder="1" applyAlignment="1">
      <alignment vertical="center"/>
    </xf>
    <xf numFmtId="0" fontId="10" fillId="0" borderId="11" xfId="0" applyFont="1" applyBorder="1" applyAlignment="1">
      <alignment vertical="center"/>
    </xf>
    <xf numFmtId="0" fontId="6" fillId="0" borderId="10" xfId="0" applyFont="1" applyBorder="1" applyAlignment="1">
      <alignment horizontal="center" vertical="center" wrapText="1"/>
    </xf>
    <xf numFmtId="0" fontId="3" fillId="0" borderId="48" xfId="0" applyFont="1" applyBorder="1"/>
    <xf numFmtId="2" fontId="11" fillId="0" borderId="32" xfId="0" applyNumberFormat="1" applyFont="1" applyBorder="1" applyAlignment="1">
      <alignment horizontal="center" vertical="center" readingOrder="1"/>
    </xf>
    <xf numFmtId="0" fontId="3" fillId="0" borderId="16" xfId="0" applyFont="1" applyBorder="1"/>
    <xf numFmtId="22" fontId="12" fillId="0" borderId="1" xfId="0" applyNumberFormat="1" applyFont="1" applyBorder="1" applyAlignment="1">
      <alignment horizontal="left" vertical="center"/>
    </xf>
    <xf numFmtId="0" fontId="13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left" vertical="center"/>
    </xf>
    <xf numFmtId="0" fontId="6" fillId="0" borderId="49" xfId="0" applyFont="1" applyBorder="1" applyAlignment="1">
      <alignment horizontal="center" vertical="center" wrapText="1"/>
    </xf>
    <xf numFmtId="0" fontId="3" fillId="0" borderId="27" xfId="0" applyFont="1" applyBorder="1"/>
    <xf numFmtId="2" fontId="14" fillId="0" borderId="28" xfId="0" applyNumberFormat="1" applyFont="1" applyBorder="1" applyAlignment="1">
      <alignment horizontal="center" vertical="center"/>
    </xf>
    <xf numFmtId="0" fontId="3" fillId="0" borderId="50" xfId="0" applyFont="1" applyBorder="1"/>
    <xf numFmtId="0" fontId="3" fillId="0" borderId="23" xfId="0" applyFont="1" applyBorder="1"/>
    <xf numFmtId="0" fontId="6" fillId="0" borderId="23" xfId="0" applyFont="1" applyBorder="1" applyAlignment="1">
      <alignment horizontal="left" vertical="top"/>
    </xf>
    <xf numFmtId="0" fontId="6" fillId="0" borderId="0" xfId="0" applyFont="1" applyAlignment="1">
      <alignment horizontal="left" vertical="top"/>
    </xf>
    <xf numFmtId="0" fontId="6" fillId="0" borderId="0" xfId="0" applyFont="1" applyAlignment="1">
      <alignment horizontal="center" vertical="top"/>
    </xf>
    <xf numFmtId="0" fontId="6" fillId="0" borderId="0" xfId="0" applyFont="1" applyAlignment="1">
      <alignment horizontal="right" vertical="top"/>
    </xf>
    <xf numFmtId="0" fontId="3" fillId="0" borderId="14" xfId="0" applyFont="1" applyBorder="1"/>
    <xf numFmtId="0" fontId="15" fillId="0" borderId="23" xfId="0" applyFont="1" applyBorder="1" applyAlignment="1">
      <alignment horizontal="right"/>
    </xf>
    <xf numFmtId="0" fontId="13" fillId="0" borderId="19" xfId="0" applyFont="1" applyBorder="1" applyAlignment="1">
      <alignment vertical="center"/>
    </xf>
    <xf numFmtId="2" fontId="14" fillId="0" borderId="51" xfId="0" applyNumberFormat="1" applyFont="1" applyBorder="1" applyAlignment="1">
      <alignment horizontal="center" vertical="center"/>
    </xf>
    <xf numFmtId="0" fontId="3" fillId="0" borderId="52" xfId="0" applyFont="1" applyBorder="1"/>
    <xf numFmtId="0" fontId="15" fillId="0" borderId="49" xfId="0" applyFont="1" applyBorder="1" applyAlignment="1">
      <alignment horizontal="center" vertical="center"/>
    </xf>
    <xf numFmtId="0" fontId="3" fillId="0" borderId="33" xfId="0" applyFont="1" applyBorder="1"/>
    <xf numFmtId="0" fontId="15" fillId="0" borderId="28" xfId="0" applyFont="1" applyBorder="1" applyAlignment="1">
      <alignment horizontal="center" vertical="center"/>
    </xf>
    <xf numFmtId="0" fontId="13" fillId="0" borderId="53" xfId="0" applyFont="1" applyBorder="1" applyAlignment="1">
      <alignment vertical="center"/>
    </xf>
    <xf numFmtId="0" fontId="3" fillId="0" borderId="53" xfId="0" applyFont="1" applyBorder="1"/>
    <xf numFmtId="0" fontId="3" fillId="0" borderId="46" xfId="0" applyFont="1" applyBorder="1"/>
    <xf numFmtId="0" fontId="13" fillId="0" borderId="11" xfId="0" applyFont="1" applyBorder="1" applyAlignment="1">
      <alignment vertical="center"/>
    </xf>
    <xf numFmtId="0" fontId="13" fillId="0" borderId="1" xfId="0" applyFont="1" applyBorder="1" applyAlignment="1">
      <alignment vertical="center"/>
    </xf>
    <xf numFmtId="0" fontId="16" fillId="0" borderId="1" xfId="0" applyFont="1" applyBorder="1" applyAlignment="1">
      <alignment horizontal="center" vertical="center"/>
    </xf>
    <xf numFmtId="0" fontId="17" fillId="0" borderId="23" xfId="0" applyFont="1" applyBorder="1" applyAlignment="1">
      <alignment horizontal="center" vertical="center"/>
    </xf>
    <xf numFmtId="0" fontId="15" fillId="0" borderId="23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304800</xdr:colOff>
      <xdr:row>27</xdr:row>
      <xdr:rowOff>57150</xdr:rowOff>
    </xdr:from>
    <xdr:ext cx="1962150" cy="6858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B1000"/>
  <sheetViews>
    <sheetView workbookViewId="0" zoomScale="100" zoomScaleNormal="100"/>
  </sheetViews>
  <sheetFormatPr defaultRowHeight="15" outlineLevelRow="0" outlineLevelCol="0" x14ac:dyDescent="0" defaultColWidth="12.63"/>
  <cols>
    <col min="1" max="1" width="10.75" customWidth="1"/>
    <col min="2" max="2" width="4.75" customWidth="1"/>
    <col min="3" max="3" width="5.38" customWidth="1"/>
    <col min="4" max="4" width="4.75" customWidth="1"/>
    <col min="5" max="5" width="5.38" customWidth="1"/>
    <col min="6" max="28" width="4.75" customWidth="1"/>
  </cols>
  <sheetData>
    <row r="1" ht="21.75" customHeight="1" spans="1:28" x14ac:dyDescent="0.25">
      <c r="A1" s="1" t="s">
        <v>0</v>
      </c>
      <c r="B1" s="2" t="s">
        <v>1</v>
      </c>
      <c r="C1" s="3"/>
      <c r="D1" s="3"/>
      <c r="E1" s="3"/>
      <c r="F1" s="3"/>
      <c r="G1" s="3"/>
      <c r="H1" s="4" t="s">
        <v>2</v>
      </c>
      <c r="I1" s="5"/>
      <c r="J1" s="5"/>
      <c r="K1" s="6" t="s">
        <v>3</v>
      </c>
      <c r="L1" s="3"/>
      <c r="M1" s="3"/>
      <c r="N1" s="3"/>
      <c r="O1" s="3"/>
      <c r="P1" s="3"/>
      <c r="Q1" s="3"/>
      <c r="R1" s="3"/>
      <c r="S1" s="4" t="s">
        <v>4</v>
      </c>
      <c r="T1" s="5"/>
      <c r="U1" s="5"/>
      <c r="V1" s="5"/>
      <c r="W1" s="7">
        <v>46243</v>
      </c>
      <c r="X1" s="5"/>
      <c r="Y1" s="5"/>
      <c r="Z1" s="5"/>
      <c r="AA1" s="5"/>
      <c r="AB1" s="8"/>
    </row>
    <row r="2" ht="26.25" customHeight="1" spans="1:28" x14ac:dyDescent="0.25">
      <c r="A2" s="9" t="s">
        <v>5</v>
      </c>
      <c r="B2" s="10" t="s">
        <v>6</v>
      </c>
      <c r="C2" s="11"/>
      <c r="D2" s="12" t="s">
        <v>7</v>
      </c>
      <c r="E2" s="13"/>
      <c r="F2" s="14" t="s">
        <v>7</v>
      </c>
      <c r="G2" s="13"/>
      <c r="H2" s="14"/>
      <c r="I2" s="13"/>
      <c r="J2" s="15"/>
      <c r="K2" s="13"/>
      <c r="L2" s="15"/>
      <c r="M2" s="13"/>
      <c r="N2" s="14"/>
      <c r="O2" s="13"/>
      <c r="P2" s="15"/>
      <c r="Q2" s="13"/>
      <c r="R2" s="14"/>
      <c r="S2" s="3"/>
      <c r="T2" s="16"/>
      <c r="U2" s="11"/>
      <c r="V2" s="17" t="s">
        <v>8</v>
      </c>
      <c r="W2" s="5"/>
      <c r="X2" s="18"/>
      <c r="Y2" s="19" t="s">
        <v>9</v>
      </c>
      <c r="Z2" s="5"/>
      <c r="AA2" s="5"/>
      <c r="AB2" s="18"/>
    </row>
    <row r="3" ht="19.5" customHeight="1" spans="1:28" x14ac:dyDescent="0.25">
      <c r="A3" s="20" t="s">
        <v>10</v>
      </c>
      <c r="B3" s="10"/>
      <c r="C3" s="11"/>
      <c r="D3" s="21" t="s">
        <v>11</v>
      </c>
      <c r="E3" s="13"/>
      <c r="F3" s="22" t="s">
        <v>12</v>
      </c>
      <c r="G3" s="13"/>
      <c r="H3" s="23"/>
      <c r="I3" s="13"/>
      <c r="J3" s="24"/>
      <c r="K3" s="13"/>
      <c r="L3" s="22"/>
      <c r="M3" s="13"/>
      <c r="N3" s="23"/>
      <c r="O3" s="13"/>
      <c r="P3" s="22"/>
      <c r="Q3" s="3"/>
      <c r="R3" s="23"/>
      <c r="S3" s="13"/>
      <c r="T3" s="22"/>
      <c r="U3" s="11"/>
      <c r="V3" s="25"/>
      <c r="W3" s="26"/>
      <c r="X3" s="27"/>
      <c r="Y3" s="25"/>
      <c r="Z3" s="26"/>
      <c r="AA3" s="26"/>
      <c r="AB3" s="27"/>
    </row>
    <row r="4" ht="19.5" customHeight="1" spans="1:28" x14ac:dyDescent="0.25">
      <c r="A4" s="28" t="s">
        <v>13</v>
      </c>
      <c r="B4" s="29" t="s">
        <v>14</v>
      </c>
      <c r="C4" s="30" t="s">
        <v>15</v>
      </c>
      <c r="D4" s="29" t="s">
        <v>14</v>
      </c>
      <c r="E4" s="31" t="s">
        <v>15</v>
      </c>
      <c r="F4" s="32" t="s">
        <v>14</v>
      </c>
      <c r="G4" s="33" t="s">
        <v>15</v>
      </c>
      <c r="H4" s="34" t="s">
        <v>14</v>
      </c>
      <c r="I4" s="33" t="s">
        <v>15</v>
      </c>
      <c r="J4" s="34" t="s">
        <v>14</v>
      </c>
      <c r="K4" s="31" t="s">
        <v>15</v>
      </c>
      <c r="L4" s="32" t="s">
        <v>14</v>
      </c>
      <c r="M4" s="33" t="s">
        <v>15</v>
      </c>
      <c r="N4" s="34" t="s">
        <v>14</v>
      </c>
      <c r="O4" s="31" t="s">
        <v>15</v>
      </c>
      <c r="P4" s="32" t="s">
        <v>14</v>
      </c>
      <c r="Q4" s="33" t="s">
        <v>15</v>
      </c>
      <c r="R4" s="34" t="s">
        <v>14</v>
      </c>
      <c r="S4" s="31" t="s">
        <v>15</v>
      </c>
      <c r="T4" s="32" t="s">
        <v>14</v>
      </c>
      <c r="U4" s="30" t="s">
        <v>15</v>
      </c>
      <c r="V4" s="35" t="s">
        <v>16</v>
      </c>
      <c r="W4" s="36" t="s">
        <v>17</v>
      </c>
      <c r="X4" s="37" t="s">
        <v>18</v>
      </c>
      <c r="Y4" s="35" t="s">
        <v>19</v>
      </c>
      <c r="Z4" s="38" t="s">
        <v>20</v>
      </c>
      <c r="AA4" s="38" t="s">
        <v>21</v>
      </c>
      <c r="AB4" s="39" t="s">
        <v>18</v>
      </c>
    </row>
    <row r="5" ht="12.75" customHeight="1" spans="1:28" x14ac:dyDescent="0.25">
      <c r="A5" s="40" t="s">
        <v>22</v>
      </c>
      <c r="B5" s="41">
        <v>0.75</v>
      </c>
      <c r="C5" s="42">
        <v>80</v>
      </c>
      <c r="D5" s="41">
        <v>5</v>
      </c>
      <c r="E5" s="43">
        <v>50</v>
      </c>
      <c r="F5" s="44"/>
      <c r="G5" s="45"/>
      <c r="H5" s="46"/>
      <c r="I5" s="45"/>
      <c r="J5" s="46"/>
      <c r="K5" s="47"/>
      <c r="L5" s="44"/>
      <c r="M5" s="45"/>
      <c r="N5" s="46"/>
      <c r="O5" s="47"/>
      <c r="P5" s="44"/>
      <c r="Q5" s="45"/>
      <c r="R5" s="46"/>
      <c r="S5" s="47"/>
      <c r="T5" s="44"/>
      <c r="U5" s="48"/>
      <c r="V5" s="49">
        <f>MIN(9, SUM(B5, D5, F5, H5, J5, L5, N5, P5, R5, T5))
</f>
        <v>9</v>
      </c>
      <c r="W5" s="50">
        <f>MAX(0, SUM(B5, D5, F5, H5, J5, L5, N5, P5, R5, T5) - 9)</f>
        <v>0</v>
      </c>
      <c r="X5" s="49">
        <f>B5+D5+F5+H5+J5+L5+N5+P5+R5+T5</f>
        <v>9</v>
      </c>
      <c r="Y5" s="51">
        <f>E5+G5+I5+K5+M5+O5+Q5+S5</f>
        <v>40</v>
      </c>
      <c r="Z5" s="52">
        <f>C5</f>
        <v>110</v>
      </c>
      <c r="AA5" s="52"/>
      <c r="AB5" s="48">
        <f>sum(AA5:AA6, Z5:Z6, Y5:Y6)</f>
        <v>150</v>
      </c>
    </row>
    <row r="6" ht="12.75" customHeight="1" spans="1:28" x14ac:dyDescent="0.25">
      <c r="A6" s="53">
        <v>46237</v>
      </c>
      <c r="B6" s="54"/>
      <c r="C6" s="55"/>
      <c r="D6" s="54"/>
      <c r="E6" s="56"/>
      <c r="F6" s="57"/>
      <c r="G6" s="58"/>
      <c r="H6" s="59"/>
      <c r="I6" s="58"/>
      <c r="J6" s="59"/>
      <c r="K6" s="56"/>
      <c r="L6" s="57"/>
      <c r="M6" s="58"/>
      <c r="N6" s="59"/>
      <c r="O6" s="56"/>
      <c r="P6" s="57"/>
      <c r="Q6" s="58"/>
      <c r="R6" s="59"/>
      <c r="S6" s="56"/>
      <c r="T6" s="57"/>
      <c r="U6" s="55"/>
      <c r="V6" s="54"/>
      <c r="W6" s="60"/>
      <c r="X6" s="54"/>
      <c r="Y6" s="54"/>
      <c r="Z6" s="60"/>
      <c r="AA6" s="60"/>
      <c r="AB6" s="55"/>
    </row>
    <row r="7" ht="12.75" customHeight="1" spans="1:28" x14ac:dyDescent="0.25">
      <c r="A7" s="40" t="s">
        <v>23</v>
      </c>
      <c r="B7" s="41"/>
      <c r="C7" s="42"/>
      <c r="D7" s="49"/>
      <c r="E7" s="47"/>
      <c r="F7" s="61"/>
      <c r="G7" s="62"/>
      <c r="H7" s="63"/>
      <c r="I7" s="62"/>
      <c r="J7" s="46"/>
      <c r="K7" s="47"/>
      <c r="L7" s="44"/>
      <c r="M7" s="45"/>
      <c r="N7" s="46"/>
      <c r="O7" s="47"/>
      <c r="P7" s="44"/>
      <c r="Q7" s="45"/>
      <c r="R7" s="46"/>
      <c r="S7" s="47"/>
      <c r="T7" s="44"/>
      <c r="U7" s="48"/>
      <c r="V7" s="49">
        <f>MIN(9, SUM(B7, D7, F7, H7, J7, L7, N7, P7, R7, T7))
</f>
        <v>9</v>
      </c>
      <c r="W7" s="50">
        <f>MAX(0, SUM(B7, D7, F7, H7, J7, L7, N7, P7, R7, T7) - 9)</f>
        <v>4.5</v>
      </c>
      <c r="X7" s="64">
        <f>B7+D7+F7+H7+J7+L7+N7+P7+R7+T7</f>
        <v>13.5</v>
      </c>
      <c r="Y7" s="51">
        <f>E7+G7+I7+K7+M7+O7+Q7+S7</f>
        <v>370</v>
      </c>
      <c r="Z7" s="52">
        <f>C7</f>
        <v>61</v>
      </c>
      <c r="AA7" s="52"/>
      <c r="AB7" s="48">
        <f>sum(AA7:AA8, Z7:Z8, Y7:Y8)</f>
        <v>431</v>
      </c>
    </row>
    <row r="8" ht="12.75" customHeight="1" spans="1:28" x14ac:dyDescent="0.25">
      <c r="A8" s="53">
        <v>46238</v>
      </c>
      <c r="B8" s="54"/>
      <c r="C8" s="55"/>
      <c r="D8" s="54"/>
      <c r="E8" s="56"/>
      <c r="F8" s="57"/>
      <c r="G8" s="58"/>
      <c r="H8" s="59"/>
      <c r="I8" s="58"/>
      <c r="J8" s="59"/>
      <c r="K8" s="56"/>
      <c r="L8" s="57"/>
      <c r="M8" s="58"/>
      <c r="N8" s="59"/>
      <c r="O8" s="56"/>
      <c r="P8" s="57"/>
      <c r="Q8" s="58"/>
      <c r="R8" s="59"/>
      <c r="S8" s="56"/>
      <c r="T8" s="57"/>
      <c r="U8" s="55"/>
      <c r="V8" s="54"/>
      <c r="W8" s="60"/>
      <c r="X8" s="65"/>
      <c r="Y8" s="54"/>
      <c r="Z8" s="60"/>
      <c r="AA8" s="60"/>
      <c r="AB8" s="55"/>
    </row>
    <row r="9" ht="12.75" customHeight="1" spans="1:28" x14ac:dyDescent="0.25">
      <c r="A9" s="40" t="s">
        <v>24</v>
      </c>
      <c r="B9" s="49"/>
      <c r="C9" s="48">
        <v>40</v>
      </c>
      <c r="D9" s="49"/>
      <c r="E9" s="47"/>
      <c r="F9" s="61">
        <v>1.5</v>
      </c>
      <c r="G9" s="62">
        <v>50</v>
      </c>
      <c r="H9" s="63"/>
      <c r="I9" s="62"/>
      <c r="J9" s="63"/>
      <c r="K9" s="43"/>
      <c r="L9" s="44"/>
      <c r="M9" s="45"/>
      <c r="N9" s="63"/>
      <c r="O9" s="47"/>
      <c r="P9" s="44"/>
      <c r="Q9" s="45"/>
      <c r="R9" s="46"/>
      <c r="S9" s="47"/>
      <c r="T9" s="44"/>
      <c r="U9" s="48"/>
      <c r="V9" s="49">
        <f>MIN(9, SUM(B9, D9, F9, H9, J9, L9, N9, P9, R9, T9))
</f>
        <v>9</v>
      </c>
      <c r="W9" s="50">
        <f>MAX(0, SUM(B9, D9, F9, H9, J9, L9, N9, P9, R9, T9) - 9)</f>
        <v>8</v>
      </c>
      <c r="X9" s="64">
        <f>B9+D9+F9+H9+J9+L9+N9+P9+R9+T9</f>
        <v>17</v>
      </c>
      <c r="Y9" s="51">
        <f>E9+G9+I9+K9+M9+O9+Q9+S9</f>
        <v>422</v>
      </c>
      <c r="Z9" s="52">
        <f>C9</f>
      </c>
      <c r="AA9" s="52"/>
      <c r="AB9" s="48">
        <f>sum(AA9:AA10, Z9:Z10, Y9:Y10)</f>
        <v>422</v>
      </c>
    </row>
    <row r="10" ht="12.75" customHeight="1" spans="1:28" x14ac:dyDescent="0.25">
      <c r="A10" s="53">
        <v>46239</v>
      </c>
      <c r="B10" s="54"/>
      <c r="C10" s="55"/>
      <c r="D10" s="54"/>
      <c r="E10" s="56"/>
      <c r="F10" s="57"/>
      <c r="G10" s="58"/>
      <c r="H10" s="59"/>
      <c r="I10" s="58"/>
      <c r="J10" s="59"/>
      <c r="K10" s="56"/>
      <c r="L10" s="57"/>
      <c r="M10" s="58"/>
      <c r="N10" s="59"/>
      <c r="O10" s="56"/>
      <c r="P10" s="57"/>
      <c r="Q10" s="58"/>
      <c r="R10" s="59"/>
      <c r="S10" s="56"/>
      <c r="T10" s="57"/>
      <c r="U10" s="55"/>
      <c r="V10" s="54"/>
      <c r="W10" s="60"/>
      <c r="X10" s="65"/>
      <c r="Y10" s="54"/>
      <c r="Z10" s="60"/>
      <c r="AA10" s="60"/>
      <c r="AB10" s="55"/>
    </row>
    <row r="11" ht="12.75" customHeight="1" spans="1:28" x14ac:dyDescent="0.25">
      <c r="A11" s="40" t="s">
        <v>25</v>
      </c>
      <c r="B11" s="41"/>
      <c r="C11" s="42"/>
      <c r="D11" s="49"/>
      <c r="E11" s="47"/>
      <c r="F11" s="44"/>
      <c r="G11" s="45"/>
      <c r="H11" s="63"/>
      <c r="I11" s="45"/>
      <c r="J11" s="46"/>
      <c r="K11" s="47"/>
      <c r="L11" s="61"/>
      <c r="M11" s="62"/>
      <c r="N11" s="63"/>
      <c r="O11" s="43"/>
      <c r="P11" s="44"/>
      <c r="Q11" s="45"/>
      <c r="R11" s="46"/>
      <c r="S11" s="47"/>
      <c r="T11" s="44"/>
      <c r="U11" s="48"/>
      <c r="V11" s="49">
        <f>MIN(9, SUM(B11, D11, F11, H11, J11, L11, N11, P11, R11, T11))
</f>
        <v>9</v>
      </c>
      <c r="W11" s="50">
        <f>MAX(0, SUM(B11, D11, F11, H11, J11, L11, N11, P11, R11, T11) - 9)</f>
        <v>3</v>
      </c>
      <c r="X11" s="64">
        <f>B11+D11+F11+H11+J11+L11+N11+P11+R11+T11</f>
        <v>12</v>
      </c>
      <c r="Y11" s="51">
        <f>E11+G11+I11+K11+M11+O11+Q11+S11</f>
        <v>256</v>
      </c>
      <c r="Z11" s="52">
        <f>C11</f>
        <v>128</v>
      </c>
      <c r="AA11" s="52"/>
      <c r="AB11" s="48">
        <f>sum(AA11:AA12, Z11:Z12, Y11:Y12)</f>
        <v>384</v>
      </c>
    </row>
    <row r="12" ht="12.75" customHeight="1" spans="1:28" x14ac:dyDescent="0.25">
      <c r="A12" s="53">
        <v>46240</v>
      </c>
      <c r="B12" s="54"/>
      <c r="C12" s="55"/>
      <c r="D12" s="54"/>
      <c r="E12" s="56"/>
      <c r="F12" s="57"/>
      <c r="G12" s="58"/>
      <c r="H12" s="59"/>
      <c r="I12" s="58"/>
      <c r="J12" s="59"/>
      <c r="K12" s="56"/>
      <c r="L12" s="57"/>
      <c r="M12" s="58"/>
      <c r="N12" s="59"/>
      <c r="O12" s="56"/>
      <c r="P12" s="57"/>
      <c r="Q12" s="58"/>
      <c r="R12" s="59"/>
      <c r="S12" s="56"/>
      <c r="T12" s="57"/>
      <c r="U12" s="55"/>
      <c r="V12" s="54"/>
      <c r="W12" s="60"/>
      <c r="X12" s="65"/>
      <c r="Y12" s="54"/>
      <c r="Z12" s="60"/>
      <c r="AA12" s="60"/>
      <c r="AB12" s="55"/>
    </row>
    <row r="13" ht="12.75" customHeight="1" spans="1:28" x14ac:dyDescent="0.25">
      <c r="A13" s="40" t="s">
        <v>26</v>
      </c>
      <c r="B13" s="41"/>
      <c r="C13" s="42"/>
      <c r="D13" s="49"/>
      <c r="E13" s="47"/>
      <c r="F13" s="44"/>
      <c r="G13" s="45"/>
      <c r="H13" s="46"/>
      <c r="I13" s="45"/>
      <c r="J13" s="46"/>
      <c r="K13" s="47"/>
      <c r="L13" s="44"/>
      <c r="M13" s="45"/>
      <c r="N13" s="46"/>
      <c r="O13" s="47"/>
      <c r="P13" s="61"/>
      <c r="Q13" s="62"/>
      <c r="R13" s="63"/>
      <c r="S13" s="43"/>
      <c r="T13" s="44"/>
      <c r="U13" s="48"/>
      <c r="V13" s="49">
        <f>MIN(9, SUM(B13, D13, F13, H13, J13, L13, N13, P13, R13, T13))
</f>
        <v>7.5</v>
      </c>
      <c r="W13" s="50">
        <f>MAX(0, SUM(B13, D13, F13, H13, J13, L13, N13, P13, R13, T13) - 9)</f>
        <v>0</v>
      </c>
      <c r="X13" s="64">
        <f>B13+D13+F13+H13+J13+L13+N13+P13+R13+T13</f>
        <v>7.5</v>
      </c>
      <c r="Y13" s="51">
        <f>E13+G13+I13+K13+M13+O13+Q13+S13</f>
        <v>190</v>
      </c>
      <c r="Z13" s="52">
        <f>C13</f>
        <v>60</v>
      </c>
      <c r="AA13" s="66"/>
      <c r="AB13" s="48">
        <f>sum(AA13:AA14, Z13:Z14, Y13:Y14)</f>
        <v>268</v>
      </c>
    </row>
    <row r="14" ht="12.75" customHeight="1" spans="1:28" x14ac:dyDescent="0.25">
      <c r="A14" s="53">
        <v>46241</v>
      </c>
      <c r="B14" s="54"/>
      <c r="C14" s="55"/>
      <c r="D14" s="54"/>
      <c r="E14" s="56"/>
      <c r="F14" s="57"/>
      <c r="G14" s="58"/>
      <c r="H14" s="59"/>
      <c r="I14" s="58"/>
      <c r="J14" s="59"/>
      <c r="K14" s="56"/>
      <c r="L14" s="57"/>
      <c r="M14" s="58"/>
      <c r="N14" s="59"/>
      <c r="O14" s="56"/>
      <c r="P14" s="57"/>
      <c r="Q14" s="58"/>
      <c r="R14" s="59"/>
      <c r="S14" s="56"/>
      <c r="T14" s="57"/>
      <c r="U14" s="55"/>
      <c r="V14" s="54"/>
      <c r="W14" s="60"/>
      <c r="X14" s="65"/>
      <c r="Y14" s="54"/>
      <c r="Z14" s="60"/>
      <c r="AA14" s="60"/>
      <c r="AB14" s="55"/>
    </row>
    <row r="15" ht="12.75" customHeight="1" spans="1:28" x14ac:dyDescent="0.25">
      <c r="A15" s="40" t="s">
        <v>27</v>
      </c>
      <c r="B15" s="49"/>
      <c r="C15" s="48"/>
      <c r="D15" s="49"/>
      <c r="E15" s="47"/>
      <c r="F15" s="44"/>
      <c r="G15" s="45"/>
      <c r="H15" s="46"/>
      <c r="I15" s="45"/>
      <c r="J15" s="46"/>
      <c r="K15" s="47"/>
      <c r="L15" s="44"/>
      <c r="M15" s="45"/>
      <c r="N15" s="46"/>
      <c r="O15" s="47"/>
      <c r="P15" s="44"/>
      <c r="Q15" s="45"/>
      <c r="R15" s="46"/>
      <c r="S15" s="47"/>
      <c r="T15" s="44"/>
      <c r="U15" s="48"/>
      <c r="V15" s="49"/>
      <c r="W15" s="50"/>
      <c r="X15" s="64"/>
      <c r="Y15" s="51">
        <f>E15+G15+I15+K15+M15+O15+Q15+S15</f>
        <v>0</v>
      </c>
      <c r="Z15" s="52">
        <f>C15</f>
      </c>
      <c r="AA15" s="66">
        <v>20</v>
      </c>
      <c r="AB15" s="48">
        <f>sum(AA15:AA16, Z15:Z16, Y15:Y16)</f>
        <v>9</v>
      </c>
    </row>
    <row r="16" ht="12.75" customHeight="1" spans="1:28" x14ac:dyDescent="0.25">
      <c r="A16" s="53">
        <v>46242</v>
      </c>
      <c r="B16" s="54"/>
      <c r="C16" s="55"/>
      <c r="D16" s="54"/>
      <c r="E16" s="56"/>
      <c r="F16" s="57"/>
      <c r="G16" s="58"/>
      <c r="H16" s="59"/>
      <c r="I16" s="58"/>
      <c r="J16" s="59"/>
      <c r="K16" s="56"/>
      <c r="L16" s="57"/>
      <c r="M16" s="58"/>
      <c r="N16" s="59"/>
      <c r="O16" s="56"/>
      <c r="P16" s="57"/>
      <c r="Q16" s="58"/>
      <c r="R16" s="59"/>
      <c r="S16" s="56"/>
      <c r="T16" s="57"/>
      <c r="U16" s="55"/>
      <c r="V16" s="54"/>
      <c r="W16" s="60"/>
      <c r="X16" s="65"/>
      <c r="Y16" s="54"/>
      <c r="Z16" s="60"/>
      <c r="AA16" s="60"/>
      <c r="AB16" s="55"/>
    </row>
    <row r="17" ht="12.75" customHeight="1" spans="1:28" x14ac:dyDescent="0.25">
      <c r="A17" s="40" t="s">
        <v>28</v>
      </c>
      <c r="B17" s="49"/>
      <c r="C17" s="48"/>
      <c r="D17" s="49"/>
      <c r="E17" s="47"/>
      <c r="F17" s="44"/>
      <c r="G17" s="45"/>
      <c r="H17" s="46"/>
      <c r="I17" s="45"/>
      <c r="J17" s="46"/>
      <c r="K17" s="47"/>
      <c r="L17" s="44"/>
      <c r="M17" s="45"/>
      <c r="N17" s="46"/>
      <c r="O17" s="47"/>
      <c r="P17" s="44"/>
      <c r="Q17" s="45"/>
      <c r="R17" s="46"/>
      <c r="S17" s="47"/>
      <c r="T17" s="44"/>
      <c r="U17" s="48"/>
      <c r="V17" s="49"/>
      <c r="W17" s="50"/>
      <c r="X17" s="64"/>
      <c r="Y17" s="51">
        <f>E17+G17+I17+K17+M17+O17+Q17+S17</f>
        <v>0</v>
      </c>
      <c r="Z17" s="52">
        <f>C17</f>
      </c>
      <c r="AA17" s="66"/>
      <c r="AB17" s="48">
        <f>sum(AA17:AA18, Z17:Z18, Y17:Y18)</f>
        <v>34</v>
      </c>
    </row>
    <row r="18" ht="12.75" customHeight="1" spans="1:28" x14ac:dyDescent="0.25">
      <c r="A18" s="53">
        <v>46243</v>
      </c>
      <c r="B18" s="54"/>
      <c r="C18" s="55"/>
      <c r="D18" s="54"/>
      <c r="E18" s="67"/>
      <c r="F18" s="57"/>
      <c r="G18" s="68"/>
      <c r="H18" s="59"/>
      <c r="I18" s="68"/>
      <c r="J18" s="59"/>
      <c r="K18" s="67"/>
      <c r="L18" s="57"/>
      <c r="M18" s="68"/>
      <c r="N18" s="59"/>
      <c r="O18" s="67"/>
      <c r="P18" s="57"/>
      <c r="Q18" s="68"/>
      <c r="R18" s="59"/>
      <c r="S18" s="67"/>
      <c r="T18" s="57"/>
      <c r="U18" s="69"/>
      <c r="V18" s="54"/>
      <c r="W18" s="60"/>
      <c r="X18" s="65"/>
      <c r="Y18" s="54"/>
      <c r="Z18" s="60"/>
      <c r="AA18" s="60"/>
      <c r="AB18" s="55"/>
    </row>
    <row r="19" ht="12.75" customHeight="1" spans="1:28" x14ac:dyDescent="0.25">
      <c r="A19" s="10" t="s">
        <v>29</v>
      </c>
      <c r="B19" s="70">
        <f t="shared" ref="B19:X19" si="0">SUM(B5:B18)</f>
        <v>10.75</v>
      </c>
      <c r="C19" s="70">
        <f t="shared" si="0"/>
        <v>359</v>
      </c>
      <c r="D19" s="70">
        <f t="shared" si="0"/>
        <v>4.25</v>
      </c>
      <c r="E19" s="70">
        <f t="shared" si="0"/>
        <v>40</v>
      </c>
      <c r="F19" s="70">
        <f t="shared" si="0"/>
        <v>13</v>
      </c>
      <c r="G19" s="70">
        <f t="shared" si="0"/>
        <v>370</v>
      </c>
      <c r="H19" s="70">
        <f t="shared" si="0"/>
        <v>11.5</v>
      </c>
      <c r="I19" s="70">
        <f t="shared" si="0"/>
        <v>372</v>
      </c>
      <c r="J19" s="70">
        <f t="shared" si="0"/>
        <v>5</v>
      </c>
      <c r="K19" s="70">
        <f t="shared" si="0"/>
        <v>50</v>
      </c>
      <c r="L19" s="70">
        <f t="shared" si="0"/>
        <v>3</v>
      </c>
      <c r="M19" s="70">
        <f t="shared" si="0"/>
        <v>128</v>
      </c>
      <c r="N19" s="70">
        <f t="shared" si="0"/>
        <v>7</v>
      </c>
      <c r="O19" s="70">
        <f t="shared" si="0"/>
        <v>128</v>
      </c>
      <c r="P19" s="70">
        <f t="shared" si="0"/>
        <v>1.5</v>
      </c>
      <c r="Q19" s="70">
        <f t="shared" si="0"/>
        <v>24</v>
      </c>
      <c r="R19" s="70">
        <f t="shared" si="0"/>
        <v>3</v>
      </c>
      <c r="S19" s="70">
        <f t="shared" si="0"/>
        <v>166</v>
      </c>
      <c r="T19" s="70">
        <f t="shared" si="0"/>
        <v>0</v>
      </c>
      <c r="U19" s="70">
        <f t="shared" si="0"/>
        <v>0</v>
      </c>
      <c r="V19" s="71">
        <f t="shared" si="0"/>
        <v>43.5</v>
      </c>
      <c r="W19" s="72">
        <f t="shared" si="0"/>
        <v>15.5</v>
      </c>
      <c r="X19" s="71">
        <f t="shared" si="0"/>
        <v>59</v>
      </c>
      <c r="Y19" s="73">
        <f>sum(Y5:Y18)</f>
        <v>1278</v>
      </c>
      <c r="Z19" s="73">
        <f t="shared" ref="Z19:AA19" si="1">SUM(Z5:Z18)</f>
        <v>359</v>
      </c>
      <c r="AA19" s="73">
        <f t="shared" si="1"/>
        <v>61</v>
      </c>
      <c r="AB19" s="73">
        <f>sum(Y19:AA19)</f>
        <v>1698</v>
      </c>
    </row>
    <row r="20" ht="12.75" customHeight="1" spans="1:28" x14ac:dyDescent="0.25">
      <c r="A20" s="74" t="s">
        <v>30</v>
      </c>
      <c r="B20"/>
      <c r="C20"/>
      <c r="D20"/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 s="75"/>
    </row>
    <row r="21" ht="22.5" customHeight="1" spans="1:28" x14ac:dyDescent="0.25">
      <c r="A21" s="76" t="s">
        <v>31</v>
      </c>
      <c r="B21" s="77"/>
      <c r="C21" s="78"/>
      <c r="D21" s="77"/>
      <c r="E21" s="78"/>
      <c r="F21" s="77"/>
      <c r="G21" s="77"/>
      <c r="H21" s="77"/>
      <c r="I21" s="78"/>
      <c r="J21" s="78"/>
      <c r="K21" s="78"/>
      <c r="L21" s="78"/>
      <c r="M21" s="78"/>
      <c r="N21" s="78"/>
      <c r="O21" s="78"/>
      <c r="P21" s="78"/>
      <c r="Q21" s="78"/>
      <c r="R21" s="78"/>
      <c r="S21" s="78"/>
      <c r="T21" s="78"/>
      <c r="U21" s="79"/>
      <c r="V21" s="80" t="s">
        <v>32</v>
      </c>
      <c r="W21" s="81"/>
      <c r="X21" s="82"/>
      <c r="Y21" s="80" t="s">
        <v>33</v>
      </c>
      <c r="Z21" s="83"/>
      <c r="AA21" s="84">
        <v>100430</v>
      </c>
      <c r="AB21" s="82"/>
    </row>
    <row r="22" ht="21.75" customHeight="1" spans="1:28" x14ac:dyDescent="0.25">
      <c r="A22" s="85" t="s">
        <v>34</v>
      </c>
      <c r="B22" s="86"/>
      <c r="C22" s="87"/>
      <c r="D22" s="86"/>
      <c r="E22" s="87"/>
      <c r="F22" s="86"/>
      <c r="G22" s="87"/>
      <c r="H22" s="86"/>
      <c r="I22" s="87"/>
      <c r="J22" s="88"/>
      <c r="K22" s="87"/>
      <c r="L22" s="88"/>
      <c r="M22" s="87"/>
      <c r="N22" s="88"/>
      <c r="O22" s="87"/>
      <c r="P22" s="88"/>
      <c r="Q22" s="87"/>
      <c r="R22" s="88"/>
      <c r="S22" s="87"/>
      <c r="T22" s="88"/>
      <c r="U22" s="27"/>
      <c r="V22" s="89"/>
      <c r="W22" s="26"/>
      <c r="X22" s="26"/>
      <c r="Y22" s="90" t="s">
        <v>35</v>
      </c>
      <c r="Z22" s="91"/>
      <c r="AA22" s="92">
        <v>100000</v>
      </c>
      <c r="AB22" s="93"/>
    </row>
    <row r="23" ht="11.25" customHeight="1" spans="1:28" x14ac:dyDescent="0.25">
      <c r="A23" s="94"/>
      <c r="B23" s="5"/>
      <c r="C23" s="5"/>
      <c r="D23" s="5"/>
      <c r="E23" s="5"/>
      <c r="F23" s="18"/>
      <c r="G23" s="95"/>
      <c r="H23" s="5"/>
      <c r="I23" s="5"/>
      <c r="J23" s="5"/>
      <c r="K23" s="5"/>
      <c r="L23" s="5"/>
      <c r="M23" s="5"/>
      <c r="N23" s="18"/>
      <c r="O23" s="96" t="s">
        <v>36</v>
      </c>
      <c r="P23" s="5"/>
      <c r="Q23" s="5"/>
      <c r="R23" s="5"/>
      <c r="S23" s="5"/>
      <c r="T23" s="5"/>
      <c r="U23" s="5"/>
      <c r="V23" s="5"/>
      <c r="W23" s="5"/>
      <c r="X23" s="5"/>
      <c r="Y23" s="97" t="s">
        <v>37</v>
      </c>
      <c r="Z23" s="98"/>
      <c r="AA23" s="99">
        <f>AB19</f>
        <v>1698</v>
      </c>
      <c r="AB23" s="100"/>
    </row>
    <row r="24" ht="14.25" customHeight="1" spans="1:28" x14ac:dyDescent="0.25">
      <c r="A24" s="101"/>
      <c r="B24"/>
      <c r="C24"/>
      <c r="D24"/>
      <c r="E24"/>
      <c r="F24" s="75"/>
      <c r="G24" s="101"/>
      <c r="H24"/>
      <c r="I24"/>
      <c r="J24"/>
      <c r="K24"/>
      <c r="L24"/>
      <c r="M24"/>
      <c r="N24" s="75"/>
      <c r="O24" s="102" t="s">
        <v>38</v>
      </c>
      <c r="P24"/>
      <c r="Q24" s="103"/>
      <c r="R24"/>
      <c r="S24" s="104" t="s">
        <v>39</v>
      </c>
      <c r="T24" s="103"/>
      <c r="U24"/>
      <c r="V24"/>
      <c r="W24" s="105" t="s">
        <v>40</v>
      </c>
      <c r="X24" s="103"/>
      <c r="Y24" s="106"/>
      <c r="Z24" s="57"/>
      <c r="AA24" s="58"/>
      <c r="AB24" s="93"/>
    </row>
    <row r="25" ht="25.5" customHeight="1" spans="1:28" x14ac:dyDescent="0.25">
      <c r="A25" s="106"/>
      <c r="B25" s="65"/>
      <c r="C25" s="65"/>
      <c r="D25" s="65"/>
      <c r="E25" s="65"/>
      <c r="F25" s="93"/>
      <c r="G25" s="101"/>
      <c r="H25"/>
      <c r="I25"/>
      <c r="J25"/>
      <c r="K25"/>
      <c r="L25"/>
      <c r="M25"/>
      <c r="N25" s="75"/>
      <c r="O25" s="107" t="s">
        <v>41</v>
      </c>
      <c r="P25"/>
      <c r="Q25" s="108"/>
      <c r="R25" s="65"/>
      <c r="S25" s="65"/>
      <c r="T25" s="65"/>
      <c r="U25" s="65"/>
      <c r="V25" s="65"/>
      <c r="W25" s="65"/>
      <c r="X25" s="93"/>
      <c r="Y25" s="90" t="s">
        <v>42</v>
      </c>
      <c r="Z25" s="91"/>
      <c r="AA25" s="109">
        <f>Y19+Z19</f>
        <v>1637</v>
      </c>
      <c r="AB25" s="110"/>
    </row>
    <row r="26" ht="22.5" customHeight="1" spans="1:28" x14ac:dyDescent="0.25">
      <c r="A26" s="111" t="s">
        <v>43</v>
      </c>
      <c r="B26" s="112"/>
      <c r="C26" s="98"/>
      <c r="D26" s="113" t="s">
        <v>40</v>
      </c>
      <c r="E26" s="112"/>
      <c r="F26" s="100"/>
      <c r="G26" s="111" t="s">
        <v>44</v>
      </c>
      <c r="H26" s="112"/>
      <c r="I26" s="112"/>
      <c r="J26" s="112"/>
      <c r="K26" s="98"/>
      <c r="L26" s="113" t="s">
        <v>40</v>
      </c>
      <c r="M26" s="112"/>
      <c r="N26" s="100"/>
      <c r="O26" s="107" t="s">
        <v>45</v>
      </c>
      <c r="P26"/>
      <c r="Q26" s="114"/>
      <c r="R26" s="115"/>
      <c r="S26" s="115"/>
      <c r="T26" s="115"/>
      <c r="U26" s="115"/>
      <c r="V26" s="115"/>
      <c r="W26" s="115"/>
      <c r="X26" s="110"/>
      <c r="Y26" s="97" t="s">
        <v>46</v>
      </c>
      <c r="Z26" s="98"/>
      <c r="AA26" s="99">
        <f>AA23-AA25</f>
        <v>61</v>
      </c>
      <c r="AB26" s="100"/>
    </row>
    <row r="27" ht="3.75" customHeight="1" spans="1:28" x14ac:dyDescent="0.25">
      <c r="A27" s="25"/>
      <c r="B27" s="26"/>
      <c r="C27" s="87"/>
      <c r="D27" s="116"/>
      <c r="E27" s="26"/>
      <c r="F27" s="27"/>
      <c r="G27" s="25"/>
      <c r="H27" s="26"/>
      <c r="I27" s="26"/>
      <c r="J27" s="26"/>
      <c r="K27" s="87"/>
      <c r="L27" s="116"/>
      <c r="M27" s="26"/>
      <c r="N27" s="27"/>
      <c r="O27" s="117"/>
      <c r="P27" s="26"/>
      <c r="Q27" s="26"/>
      <c r="R27" s="26"/>
      <c r="S27" s="26"/>
      <c r="T27" s="26"/>
      <c r="U27" s="26"/>
      <c r="V27" s="26"/>
      <c r="W27" s="26"/>
      <c r="X27" s="27"/>
      <c r="Y27" s="25"/>
      <c r="Z27" s="87"/>
      <c r="AA27" s="116"/>
      <c r="AB27" s="27"/>
    </row>
    <row r="28" ht="12.75" customHeight="1" spans="1:28" x14ac:dyDescent="0.25">
      <c r="A28" s="118"/>
      <c r="B28" s="5"/>
      <c r="C28" s="5"/>
      <c r="D28" s="5"/>
      <c r="E28" s="5"/>
      <c r="F28" s="18"/>
      <c r="G28" s="119" t="s">
        <v>47</v>
      </c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18"/>
      <c r="X28" s="120" t="s">
        <v>48</v>
      </c>
      <c r="Y28"/>
      <c r="Z28"/>
      <c r="AA28"/>
      <c r="AB28" s="75"/>
    </row>
    <row r="29" ht="12.75" customHeight="1" spans="1:28" x14ac:dyDescent="0.25">
      <c r="A29" s="101"/>
      <c r="B29"/>
      <c r="C29"/>
      <c r="D29"/>
      <c r="E29"/>
      <c r="F29" s="75"/>
      <c r="G29" s="101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 s="75"/>
      <c r="X29" s="101"/>
      <c r="Y29"/>
      <c r="Z29"/>
      <c r="AA29"/>
      <c r="AB29" s="75"/>
    </row>
    <row r="30" ht="12.75" customHeight="1" spans="1:28" x14ac:dyDescent="0.25">
      <c r="A30" s="101"/>
      <c r="B30"/>
      <c r="C30"/>
      <c r="D30"/>
      <c r="E30"/>
      <c r="F30" s="75"/>
      <c r="G30" s="101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 s="75"/>
      <c r="X30" s="101"/>
      <c r="Y30"/>
      <c r="Z30"/>
      <c r="AA30"/>
      <c r="AB30" s="75"/>
    </row>
    <row r="31" ht="12.75" customHeight="1" spans="1:28" x14ac:dyDescent="0.25">
      <c r="A31" s="101"/>
      <c r="B31"/>
      <c r="C31"/>
      <c r="D31"/>
      <c r="E31"/>
      <c r="F31" s="75"/>
      <c r="G31" s="10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 s="75"/>
      <c r="X31" s="121" t="s">
        <v>49</v>
      </c>
      <c r="Y31"/>
      <c r="Z31"/>
      <c r="AA31"/>
      <c r="AB31" s="75"/>
    </row>
    <row r="32" ht="12.75" customHeight="1" spans="1:28" x14ac:dyDescent="0.25">
      <c r="A32" s="25"/>
      <c r="B32" s="26"/>
      <c r="C32" s="26"/>
      <c r="D32" s="26"/>
      <c r="E32" s="26"/>
      <c r="F32" s="27"/>
      <c r="G32" s="25"/>
      <c r="H32" s="26"/>
      <c r="I32" s="26"/>
      <c r="J32" s="26"/>
      <c r="K32" s="26"/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7"/>
      <c r="X32" s="25"/>
      <c r="Y32" s="26"/>
      <c r="Z32" s="26"/>
      <c r="AA32" s="26"/>
      <c r="AB32" s="27"/>
    </row>
    <row r="33" ht="12.75" customHeight="1" x14ac:dyDescent="0.25"/>
    <row r="34" ht="12.75" customHeight="1" x14ac:dyDescent="0.25"/>
    <row r="35" ht="12.75" customHeight="1" x14ac:dyDescent="0.25"/>
    <row r="36" ht="12.75" customHeight="1" x14ac:dyDescent="0.25"/>
    <row r="37" ht="12.75" customHeight="1" x14ac:dyDescent="0.25"/>
    <row r="38" ht="12.75" customHeight="1" x14ac:dyDescent="0.25"/>
    <row r="39" ht="12.75" customHeight="1" x14ac:dyDescent="0.25"/>
    <row r="40" ht="12.75" customHeight="1" x14ac:dyDescent="0.25"/>
    <row r="41" ht="12.75" customHeight="1" x14ac:dyDescent="0.25"/>
    <row r="42" ht="12.75" customHeight="1" x14ac:dyDescent="0.25"/>
    <row r="43" ht="12.75" customHeight="1" x14ac:dyDescent="0.25"/>
    <row r="44" ht="12.75" customHeight="1" x14ac:dyDescent="0.25"/>
    <row r="45" ht="12.75" customHeight="1" x14ac:dyDescent="0.25"/>
    <row r="46" ht="12.75" customHeight="1" x14ac:dyDescent="0.25"/>
    <row r="47" ht="12.75" customHeight="1" x14ac:dyDescent="0.25"/>
    <row r="48" ht="12.75" customHeight="1" x14ac:dyDescent="0.25"/>
    <row r="49" ht="12.75" customHeight="1" x14ac:dyDescent="0.25"/>
    <row r="50" ht="12.75" customHeight="1" x14ac:dyDescent="0.25"/>
    <row r="51" ht="12.75" customHeight="1" x14ac:dyDescent="0.25"/>
    <row r="52" ht="12.75" customHeight="1" x14ac:dyDescent="0.25"/>
    <row r="53" ht="12.75" customHeight="1" x14ac:dyDescent="0.25"/>
    <row r="54" ht="12.75" customHeight="1" x14ac:dyDescent="0.25"/>
    <row r="55" ht="12.75" customHeight="1" x14ac:dyDescent="0.25"/>
    <row r="56" ht="12.75" customHeight="1" x14ac:dyDescent="0.25"/>
    <row r="57" ht="12.75" customHeight="1" x14ac:dyDescent="0.25"/>
    <row r="58" ht="12.75" customHeight="1" x14ac:dyDescent="0.25"/>
    <row r="59" ht="12.75" customHeight="1" x14ac:dyDescent="0.25"/>
    <row r="60" ht="12.75" customHeight="1" x14ac:dyDescent="0.25"/>
    <row r="61" ht="12.75" customHeight="1" x14ac:dyDescent="0.25"/>
    <row r="62" ht="12.75" customHeight="1" x14ac:dyDescent="0.25"/>
    <row r="63" ht="12.75" customHeight="1" x14ac:dyDescent="0.25"/>
    <row r="64" ht="12.75" customHeight="1" x14ac:dyDescent="0.25"/>
    <row r="65" ht="12.75" customHeight="1" x14ac:dyDescent="0.25"/>
    <row r="66" ht="12.75" customHeight="1" x14ac:dyDescent="0.25"/>
    <row r="67" ht="12.75" customHeight="1" x14ac:dyDescent="0.25"/>
    <row r="68" ht="12.75" customHeight="1" x14ac:dyDescent="0.25"/>
    <row r="69" ht="12.75" customHeight="1" x14ac:dyDescent="0.25"/>
    <row r="70" ht="12.75" customHeight="1" x14ac:dyDescent="0.25"/>
    <row r="71" ht="12.75" customHeight="1" x14ac:dyDescent="0.25"/>
    <row r="72" ht="12.75" customHeight="1" x14ac:dyDescent="0.25"/>
    <row r="73" ht="12.75" customHeight="1" x14ac:dyDescent="0.25"/>
    <row r="74" ht="12.75" customHeight="1" x14ac:dyDescent="0.25"/>
    <row r="75" ht="12.75" customHeight="1" x14ac:dyDescent="0.25"/>
    <row r="76" ht="12.75" customHeight="1" x14ac:dyDescent="0.25"/>
    <row r="77" ht="12.75" customHeight="1" x14ac:dyDescent="0.25"/>
    <row r="78" ht="12.75" customHeight="1" x14ac:dyDescent="0.25"/>
    <row r="79" ht="12.75" customHeight="1" x14ac:dyDescent="0.25"/>
    <row r="80" ht="12.75" customHeight="1" x14ac:dyDescent="0.25"/>
    <row r="81" ht="12.75" customHeight="1" x14ac:dyDescent="0.25"/>
    <row r="82" ht="12.75" customHeight="1" x14ac:dyDescent="0.25"/>
    <row r="83" ht="12.75" customHeight="1" x14ac:dyDescent="0.25"/>
    <row r="84" ht="12.75" customHeight="1" x14ac:dyDescent="0.25"/>
    <row r="85" ht="12.75" customHeight="1" x14ac:dyDescent="0.25"/>
    <row r="86" ht="12.75" customHeight="1" x14ac:dyDescent="0.25"/>
    <row r="87" ht="12.75" customHeight="1" x14ac:dyDescent="0.25"/>
    <row r="88" ht="12.75" customHeight="1" x14ac:dyDescent="0.25"/>
    <row r="89" ht="12.75" customHeight="1" x14ac:dyDescent="0.25"/>
    <row r="90" ht="12.75" customHeight="1" x14ac:dyDescent="0.25"/>
    <row r="91" ht="12.75" customHeight="1" x14ac:dyDescent="0.25"/>
    <row r="92" ht="12.75" customHeight="1" x14ac:dyDescent="0.25"/>
    <row r="93" ht="12.75" customHeight="1" x14ac:dyDescent="0.25"/>
    <row r="94" ht="12.75" customHeight="1" x14ac:dyDescent="0.25"/>
    <row r="95" ht="12.75" customHeight="1" x14ac:dyDescent="0.25"/>
    <row r="96" ht="12.75" customHeight="1" x14ac:dyDescent="0.25"/>
    <row r="97" ht="12.75" customHeight="1" x14ac:dyDescent="0.25"/>
    <row r="98" ht="12.75" customHeight="1" x14ac:dyDescent="0.25"/>
    <row r="99" ht="12.75" customHeight="1" x14ac:dyDescent="0.25"/>
    <row r="100" ht="12.75" customHeight="1" x14ac:dyDescent="0.25"/>
    <row r="101" ht="12.75" customHeight="1" x14ac:dyDescent="0.25"/>
    <row r="102" ht="12.75" customHeight="1" x14ac:dyDescent="0.25"/>
    <row r="103" ht="12.75" customHeight="1" x14ac:dyDescent="0.25"/>
    <row r="104" ht="12.75" customHeight="1" x14ac:dyDescent="0.25"/>
    <row r="105" ht="12.75" customHeight="1" x14ac:dyDescent="0.25"/>
    <row r="106" ht="12.75" customHeight="1" x14ac:dyDescent="0.25"/>
    <row r="107" ht="12.75" customHeight="1" x14ac:dyDescent="0.25"/>
    <row r="108" ht="12.75" customHeight="1" x14ac:dyDescent="0.25"/>
    <row r="109" ht="12.75" customHeight="1" x14ac:dyDescent="0.25"/>
    <row r="110" ht="12.75" customHeight="1" x14ac:dyDescent="0.25"/>
    <row r="111" ht="12.75" customHeight="1" x14ac:dyDescent="0.25"/>
    <row r="112" ht="12.75" customHeight="1" x14ac:dyDescent="0.25"/>
    <row r="113" ht="12.75" customHeight="1" x14ac:dyDescent="0.25"/>
    <row r="114" ht="12.75" customHeight="1" x14ac:dyDescent="0.25"/>
    <row r="115" ht="12.75" customHeight="1" x14ac:dyDescent="0.25"/>
    <row r="116" ht="12.75" customHeight="1" x14ac:dyDescent="0.25"/>
    <row r="117" ht="12.75" customHeight="1" x14ac:dyDescent="0.25"/>
    <row r="118" ht="12.75" customHeight="1" x14ac:dyDescent="0.25"/>
    <row r="119" ht="12.75" customHeight="1" x14ac:dyDescent="0.25"/>
    <row r="120" ht="12.75" customHeight="1" x14ac:dyDescent="0.25"/>
    <row r="121" ht="12.75" customHeight="1" x14ac:dyDescent="0.25"/>
    <row r="122" ht="12.75" customHeight="1" x14ac:dyDescent="0.25"/>
    <row r="123" ht="12.75" customHeight="1" x14ac:dyDescent="0.25"/>
    <row r="124" ht="12.75" customHeight="1" x14ac:dyDescent="0.25"/>
    <row r="125" ht="12.75" customHeight="1" x14ac:dyDescent="0.25"/>
    <row r="126" ht="12.75" customHeight="1" x14ac:dyDescent="0.25"/>
    <row r="127" ht="12.75" customHeight="1" x14ac:dyDescent="0.25"/>
    <row r="128" ht="12.75" customHeight="1" x14ac:dyDescent="0.25"/>
    <row r="129" ht="12.75" customHeight="1" x14ac:dyDescent="0.25"/>
    <row r="130" ht="12.75" customHeight="1" x14ac:dyDescent="0.25"/>
    <row r="131" ht="12.75" customHeight="1" x14ac:dyDescent="0.25"/>
    <row r="132" ht="12.75" customHeight="1" x14ac:dyDescent="0.25"/>
    <row r="133" ht="12.75" customHeight="1" x14ac:dyDescent="0.25"/>
    <row r="134" ht="12.75" customHeight="1" x14ac:dyDescent="0.25"/>
    <row r="135" ht="12.75" customHeight="1" x14ac:dyDescent="0.25"/>
    <row r="136" ht="12.75" customHeight="1" x14ac:dyDescent="0.25"/>
    <row r="137" ht="12.75" customHeight="1" x14ac:dyDescent="0.25"/>
    <row r="138" ht="12.75" customHeight="1" x14ac:dyDescent="0.25"/>
    <row r="139" ht="12.75" customHeight="1" x14ac:dyDescent="0.25"/>
    <row r="140" ht="12.75" customHeight="1" x14ac:dyDescent="0.25"/>
    <row r="141" ht="12.75" customHeight="1" x14ac:dyDescent="0.25"/>
    <row r="142" ht="12.75" customHeight="1" x14ac:dyDescent="0.25"/>
    <row r="143" ht="12.75" customHeight="1" x14ac:dyDescent="0.25"/>
    <row r="144" ht="12.75" customHeight="1" x14ac:dyDescent="0.25"/>
    <row r="145" ht="12.75" customHeight="1" x14ac:dyDescent="0.25"/>
    <row r="146" ht="12.75" customHeight="1" x14ac:dyDescent="0.25"/>
    <row r="147" ht="12.75" customHeight="1" x14ac:dyDescent="0.25"/>
    <row r="148" ht="12.75" customHeight="1" x14ac:dyDescent="0.25"/>
    <row r="149" ht="12.75" customHeight="1" x14ac:dyDescent="0.25"/>
    <row r="150" ht="12.75" customHeight="1" x14ac:dyDescent="0.25"/>
    <row r="151" ht="12.75" customHeight="1" x14ac:dyDescent="0.25"/>
    <row r="152" ht="12.75" customHeight="1" x14ac:dyDescent="0.25"/>
    <row r="153" ht="12.75" customHeight="1" x14ac:dyDescent="0.25"/>
    <row r="154" ht="12.75" customHeight="1" x14ac:dyDescent="0.25"/>
    <row r="155" ht="12.75" customHeight="1" x14ac:dyDescent="0.25"/>
    <row r="156" ht="12.75" customHeight="1" x14ac:dyDescent="0.25"/>
    <row r="157" ht="12.75" customHeight="1" x14ac:dyDescent="0.25"/>
    <row r="158" ht="12.75" customHeight="1" x14ac:dyDescent="0.25"/>
    <row r="159" ht="12.75" customHeight="1" x14ac:dyDescent="0.25"/>
    <row r="160" ht="12.75" customHeight="1" x14ac:dyDescent="0.25"/>
    <row r="161" ht="12.75" customHeight="1" x14ac:dyDescent="0.25"/>
    <row r="162" ht="12.75" customHeight="1" x14ac:dyDescent="0.25"/>
    <row r="163" ht="12.75" customHeight="1" x14ac:dyDescent="0.25"/>
    <row r="164" ht="12.75" customHeight="1" x14ac:dyDescent="0.25"/>
    <row r="165" ht="12.75" customHeight="1" x14ac:dyDescent="0.25"/>
    <row r="166" ht="12.75" customHeight="1" x14ac:dyDescent="0.25"/>
    <row r="167" ht="12.75" customHeight="1" x14ac:dyDescent="0.25"/>
    <row r="168" ht="12.75" customHeight="1" x14ac:dyDescent="0.25"/>
    <row r="169" ht="12.75" customHeight="1" x14ac:dyDescent="0.25"/>
    <row r="170" ht="12.75" customHeight="1" x14ac:dyDescent="0.25"/>
    <row r="171" ht="12.75" customHeight="1" x14ac:dyDescent="0.25"/>
    <row r="172" ht="12.75" customHeight="1" x14ac:dyDescent="0.25"/>
    <row r="173" ht="12.75" customHeight="1" x14ac:dyDescent="0.25"/>
    <row r="174" ht="12.75" customHeight="1" x14ac:dyDescent="0.25"/>
    <row r="175" ht="12.75" customHeight="1" x14ac:dyDescent="0.25"/>
    <row r="176" ht="12.75" customHeight="1" x14ac:dyDescent="0.25"/>
    <row r="177" ht="12.75" customHeight="1" x14ac:dyDescent="0.25"/>
    <row r="178" ht="12.75" customHeight="1" x14ac:dyDescent="0.25"/>
    <row r="179" ht="12.75" customHeight="1" x14ac:dyDescent="0.25"/>
    <row r="180" ht="12.75" customHeight="1" x14ac:dyDescent="0.25"/>
    <row r="181" ht="12.75" customHeight="1" x14ac:dyDescent="0.25"/>
    <row r="182" ht="12.75" customHeight="1" x14ac:dyDescent="0.25"/>
    <row r="183" ht="12.75" customHeight="1" x14ac:dyDescent="0.25"/>
    <row r="184" ht="12.75" customHeight="1" x14ac:dyDescent="0.25"/>
    <row r="185" ht="12.75" customHeight="1" x14ac:dyDescent="0.25"/>
    <row r="186" ht="12.75" customHeight="1" x14ac:dyDescent="0.25"/>
    <row r="187" ht="12.75" customHeight="1" x14ac:dyDescent="0.25"/>
    <row r="188" ht="12.75" customHeight="1" x14ac:dyDescent="0.25"/>
    <row r="189" ht="12.75" customHeight="1" x14ac:dyDescent="0.25"/>
    <row r="190" ht="12.75" customHeight="1" x14ac:dyDescent="0.25"/>
    <row r="191" ht="12.75" customHeight="1" x14ac:dyDescent="0.25"/>
    <row r="192" ht="12.75" customHeight="1" x14ac:dyDescent="0.25"/>
    <row r="193" ht="12.75" customHeight="1" x14ac:dyDescent="0.25"/>
    <row r="194" ht="12.75" customHeight="1" x14ac:dyDescent="0.25"/>
    <row r="195" ht="12.75" customHeight="1" x14ac:dyDescent="0.25"/>
    <row r="196" ht="12.75" customHeight="1" x14ac:dyDescent="0.25"/>
    <row r="197" ht="12.75" customHeight="1" x14ac:dyDescent="0.25"/>
    <row r="198" ht="12.75" customHeight="1" x14ac:dyDescent="0.25"/>
    <row r="199" ht="12.75" customHeight="1" x14ac:dyDescent="0.25"/>
    <row r="200" ht="12.75" customHeight="1" x14ac:dyDescent="0.25"/>
    <row r="201" ht="12.75" customHeight="1" x14ac:dyDescent="0.25"/>
    <row r="202" ht="12.75" customHeight="1" x14ac:dyDescent="0.25"/>
    <row r="203" ht="12.75" customHeight="1" x14ac:dyDescent="0.25"/>
    <row r="204" ht="12.75" customHeight="1" x14ac:dyDescent="0.25"/>
    <row r="205" ht="12.75" customHeight="1" x14ac:dyDescent="0.25"/>
    <row r="206" ht="12.75" customHeight="1" x14ac:dyDescent="0.25"/>
    <row r="207" ht="12.75" customHeight="1" x14ac:dyDescent="0.25"/>
    <row r="208" ht="12.75" customHeight="1" x14ac:dyDescent="0.25"/>
    <row r="209" ht="12.75" customHeight="1" x14ac:dyDescent="0.25"/>
    <row r="210" ht="12.75" customHeight="1" x14ac:dyDescent="0.25"/>
    <row r="211" ht="12.75" customHeight="1" x14ac:dyDescent="0.25"/>
    <row r="212" ht="12.75" customHeight="1" x14ac:dyDescent="0.25"/>
    <row r="213" ht="12.75" customHeight="1" x14ac:dyDescent="0.25"/>
    <row r="214" ht="12.75" customHeight="1" x14ac:dyDescent="0.25"/>
    <row r="215" ht="12.75" customHeight="1" x14ac:dyDescent="0.25"/>
    <row r="216" ht="12.75" customHeight="1" x14ac:dyDescent="0.25"/>
    <row r="217" ht="12.75" customHeight="1" x14ac:dyDescent="0.25"/>
    <row r="218" ht="12.75" customHeight="1" x14ac:dyDescent="0.25"/>
    <row r="219" ht="12.75" customHeight="1" x14ac:dyDescent="0.25"/>
    <row r="220" ht="12.75" customHeight="1" x14ac:dyDescent="0.25"/>
    <row r="221" ht="12.75" customHeight="1" x14ac:dyDescent="0.25"/>
    <row r="222" ht="12.75" customHeight="1" x14ac:dyDescent="0.25"/>
    <row r="223" ht="12.75" customHeight="1" x14ac:dyDescent="0.25"/>
    <row r="224" ht="12.75" customHeight="1" x14ac:dyDescent="0.25"/>
    <row r="225" ht="12.75" customHeight="1" x14ac:dyDescent="0.25"/>
    <row r="226" ht="12.75" customHeight="1" x14ac:dyDescent="0.25"/>
    <row r="227" ht="12.75" customHeight="1" x14ac:dyDescent="0.25"/>
    <row r="228" ht="12.75" customHeight="1" x14ac:dyDescent="0.25"/>
    <row r="229" ht="12.75" customHeight="1" x14ac:dyDescent="0.25"/>
    <row r="230" ht="12.75" customHeight="1" x14ac:dyDescent="0.25"/>
    <row r="231" ht="12.75" customHeight="1" x14ac:dyDescent="0.25"/>
    <row r="232" ht="12.75" customHeight="1" x14ac:dyDescent="0.25"/>
    <row r="233" ht="12.75" customHeight="1" x14ac:dyDescent="0.25"/>
    <row r="234" ht="12.75" customHeight="1" x14ac:dyDescent="0.25"/>
    <row r="235" ht="12.75" customHeight="1" x14ac:dyDescent="0.25"/>
    <row r="236" ht="12.75" customHeight="1" x14ac:dyDescent="0.25"/>
    <row r="237" ht="12.75" customHeight="1" x14ac:dyDescent="0.25"/>
    <row r="238" ht="12.75" customHeight="1" x14ac:dyDescent="0.25"/>
    <row r="239" ht="12.75" customHeight="1" x14ac:dyDescent="0.25"/>
    <row r="240" ht="12.75" customHeight="1" x14ac:dyDescent="0.25"/>
    <row r="241" ht="12.75" customHeight="1" x14ac:dyDescent="0.25"/>
    <row r="242" ht="12.75" customHeight="1" x14ac:dyDescent="0.25"/>
    <row r="243" ht="12.75" customHeight="1" x14ac:dyDescent="0.25"/>
    <row r="244" ht="12.75" customHeight="1" x14ac:dyDescent="0.25"/>
    <row r="245" ht="12.75" customHeight="1" x14ac:dyDescent="0.25"/>
    <row r="246" ht="12.75" customHeight="1" x14ac:dyDescent="0.25"/>
    <row r="247" ht="12.75" customHeight="1" x14ac:dyDescent="0.25"/>
    <row r="248" ht="12.75" customHeight="1" x14ac:dyDescent="0.25"/>
    <row r="249" ht="12.75" customHeight="1" x14ac:dyDescent="0.25"/>
    <row r="250" ht="12.75" customHeight="1" x14ac:dyDescent="0.25"/>
    <row r="251" ht="12.75" customHeight="1" x14ac:dyDescent="0.25"/>
    <row r="252" ht="12.75" customHeight="1" x14ac:dyDescent="0.25"/>
    <row r="253" ht="12.75" customHeight="1" x14ac:dyDescent="0.25"/>
    <row r="254" ht="12.75" customHeight="1" x14ac:dyDescent="0.25"/>
    <row r="255" ht="12.75" customHeight="1" x14ac:dyDescent="0.25"/>
    <row r="256" ht="12.75" customHeight="1" x14ac:dyDescent="0.25"/>
    <row r="257" ht="12.75" customHeight="1" x14ac:dyDescent="0.25"/>
    <row r="258" ht="12.75" customHeight="1" x14ac:dyDescent="0.25"/>
    <row r="259" ht="12.75" customHeight="1" x14ac:dyDescent="0.25"/>
    <row r="260" ht="12.75" customHeight="1" x14ac:dyDescent="0.25"/>
    <row r="261" ht="12.75" customHeight="1" x14ac:dyDescent="0.25"/>
    <row r="262" ht="12.75" customHeight="1" x14ac:dyDescent="0.25"/>
    <row r="263" ht="12.75" customHeight="1" x14ac:dyDescent="0.25"/>
    <row r="264" ht="12.75" customHeight="1" x14ac:dyDescent="0.25"/>
    <row r="265" ht="12.75" customHeight="1" x14ac:dyDescent="0.25"/>
    <row r="266" ht="12.75" customHeight="1" x14ac:dyDescent="0.25"/>
    <row r="267" ht="12.75" customHeight="1" x14ac:dyDescent="0.25"/>
    <row r="268" ht="12.75" customHeight="1" x14ac:dyDescent="0.25"/>
    <row r="269" ht="12.75" customHeight="1" x14ac:dyDescent="0.25"/>
    <row r="270" ht="12.75" customHeight="1" x14ac:dyDescent="0.25"/>
    <row r="271" ht="12.75" customHeight="1" x14ac:dyDescent="0.25"/>
    <row r="272" ht="12.75" customHeight="1" x14ac:dyDescent="0.25"/>
    <row r="273" ht="12.75" customHeight="1" x14ac:dyDescent="0.25"/>
    <row r="274" ht="12.75" customHeight="1" x14ac:dyDescent="0.25"/>
    <row r="275" ht="12.75" customHeight="1" x14ac:dyDescent="0.25"/>
    <row r="276" ht="12.75" customHeight="1" x14ac:dyDescent="0.25"/>
    <row r="277" ht="12.75" customHeight="1" x14ac:dyDescent="0.25"/>
    <row r="278" ht="12.75" customHeight="1" x14ac:dyDescent="0.25"/>
    <row r="279" ht="12.75" customHeight="1" x14ac:dyDescent="0.25"/>
    <row r="280" ht="12.75" customHeight="1" x14ac:dyDescent="0.25"/>
    <row r="281" ht="12.75" customHeight="1" x14ac:dyDescent="0.25"/>
    <row r="282" ht="12.75" customHeight="1" x14ac:dyDescent="0.25"/>
    <row r="283" ht="12.75" customHeight="1" x14ac:dyDescent="0.25"/>
    <row r="284" ht="12.75" customHeight="1" x14ac:dyDescent="0.25"/>
    <row r="285" ht="12.75" customHeight="1" x14ac:dyDescent="0.25"/>
    <row r="286" ht="12.75" customHeight="1" x14ac:dyDescent="0.25"/>
    <row r="287" ht="12.75" customHeight="1" x14ac:dyDescent="0.25"/>
    <row r="288" ht="12.75" customHeight="1" x14ac:dyDescent="0.25"/>
    <row r="289" ht="12.75" customHeight="1" x14ac:dyDescent="0.25"/>
    <row r="290" ht="12.75" customHeight="1" x14ac:dyDescent="0.25"/>
    <row r="291" ht="12.75" customHeight="1" x14ac:dyDescent="0.25"/>
    <row r="292" ht="12.75" customHeight="1" x14ac:dyDescent="0.25"/>
    <row r="293" ht="12.75" customHeight="1" x14ac:dyDescent="0.25"/>
    <row r="294" ht="12.75" customHeight="1" x14ac:dyDescent="0.25"/>
    <row r="295" ht="12.75" customHeight="1" x14ac:dyDescent="0.25"/>
    <row r="296" ht="12.75" customHeight="1" x14ac:dyDescent="0.25"/>
    <row r="297" ht="12.75" customHeight="1" x14ac:dyDescent="0.25"/>
    <row r="298" ht="12.75" customHeight="1" x14ac:dyDescent="0.25"/>
    <row r="299" ht="12.75" customHeight="1" x14ac:dyDescent="0.25"/>
    <row r="300" ht="12.75" customHeight="1" x14ac:dyDescent="0.25"/>
    <row r="301" ht="12.75" customHeight="1" x14ac:dyDescent="0.25"/>
    <row r="302" ht="12.75" customHeight="1" x14ac:dyDescent="0.25"/>
    <row r="303" ht="12.75" customHeight="1" x14ac:dyDescent="0.25"/>
    <row r="304" ht="12.75" customHeight="1" x14ac:dyDescent="0.25"/>
    <row r="305" ht="12.75" customHeight="1" x14ac:dyDescent="0.25"/>
    <row r="306" ht="12.75" customHeight="1" x14ac:dyDescent="0.25"/>
    <row r="307" ht="12.75" customHeight="1" x14ac:dyDescent="0.25"/>
    <row r="308" ht="12.75" customHeight="1" x14ac:dyDescent="0.25"/>
    <row r="309" ht="12.75" customHeight="1" x14ac:dyDescent="0.25"/>
    <row r="310" ht="12.75" customHeight="1" x14ac:dyDescent="0.25"/>
    <row r="311" ht="12.75" customHeight="1" x14ac:dyDescent="0.25"/>
    <row r="312" ht="12.75" customHeight="1" x14ac:dyDescent="0.25"/>
    <row r="313" ht="12.75" customHeight="1" x14ac:dyDescent="0.25"/>
    <row r="314" ht="12.75" customHeight="1" x14ac:dyDescent="0.25"/>
    <row r="315" ht="12.75" customHeight="1" x14ac:dyDescent="0.25"/>
    <row r="316" ht="12.75" customHeight="1" x14ac:dyDescent="0.25"/>
    <row r="317" ht="12.75" customHeight="1" x14ac:dyDescent="0.25"/>
    <row r="318" ht="12.75" customHeight="1" x14ac:dyDescent="0.25"/>
    <row r="319" ht="12.75" customHeight="1" x14ac:dyDescent="0.25"/>
    <row r="320" ht="12.75" customHeight="1" x14ac:dyDescent="0.25"/>
    <row r="321" ht="12.75" customHeight="1" x14ac:dyDescent="0.25"/>
    <row r="322" ht="12.75" customHeight="1" x14ac:dyDescent="0.25"/>
    <row r="323" ht="12.75" customHeight="1" x14ac:dyDescent="0.25"/>
    <row r="324" ht="12.75" customHeight="1" x14ac:dyDescent="0.25"/>
    <row r="325" ht="12.75" customHeight="1" x14ac:dyDescent="0.25"/>
    <row r="326" ht="12.75" customHeight="1" x14ac:dyDescent="0.25"/>
    <row r="327" ht="12.75" customHeight="1" x14ac:dyDescent="0.25"/>
    <row r="328" ht="12.75" customHeight="1" x14ac:dyDescent="0.25"/>
    <row r="329" ht="12.75" customHeight="1" x14ac:dyDescent="0.25"/>
    <row r="330" ht="12.75" customHeight="1" x14ac:dyDescent="0.25"/>
    <row r="331" ht="12.75" customHeight="1" x14ac:dyDescent="0.25"/>
    <row r="332" ht="12.75" customHeight="1" x14ac:dyDescent="0.25"/>
    <row r="333" ht="12.75" customHeight="1" x14ac:dyDescent="0.25"/>
    <row r="334" ht="12.75" customHeight="1" x14ac:dyDescent="0.25"/>
    <row r="335" ht="12.75" customHeight="1" x14ac:dyDescent="0.25"/>
    <row r="336" ht="12.75" customHeight="1" x14ac:dyDescent="0.25"/>
    <row r="337" ht="12.75" customHeight="1" x14ac:dyDescent="0.25"/>
    <row r="338" ht="12.75" customHeight="1" x14ac:dyDescent="0.25"/>
    <row r="339" ht="12.75" customHeight="1" x14ac:dyDescent="0.25"/>
    <row r="340" ht="12.75" customHeight="1" x14ac:dyDescent="0.25"/>
    <row r="341" ht="12.75" customHeight="1" x14ac:dyDescent="0.25"/>
    <row r="342" ht="12.75" customHeight="1" x14ac:dyDescent="0.25"/>
    <row r="343" ht="12.75" customHeight="1" x14ac:dyDescent="0.25"/>
    <row r="344" ht="12.75" customHeight="1" x14ac:dyDescent="0.25"/>
    <row r="345" ht="12.75" customHeight="1" x14ac:dyDescent="0.25"/>
    <row r="346" ht="12.75" customHeight="1" x14ac:dyDescent="0.25"/>
    <row r="347" ht="12.75" customHeight="1" x14ac:dyDescent="0.25"/>
    <row r="348" ht="12.75" customHeight="1" x14ac:dyDescent="0.25"/>
    <row r="349" ht="12.75" customHeight="1" x14ac:dyDescent="0.25"/>
    <row r="350" ht="12.75" customHeight="1" x14ac:dyDescent="0.25"/>
    <row r="351" ht="12.75" customHeight="1" x14ac:dyDescent="0.25"/>
    <row r="352" ht="12.75" customHeight="1" x14ac:dyDescent="0.25"/>
    <row r="353" ht="12.75" customHeight="1" x14ac:dyDescent="0.25"/>
    <row r="354" ht="12.75" customHeight="1" x14ac:dyDescent="0.25"/>
    <row r="355" ht="12.75" customHeight="1" x14ac:dyDescent="0.25"/>
    <row r="356" ht="12.75" customHeight="1" x14ac:dyDescent="0.25"/>
    <row r="357" ht="12.75" customHeight="1" x14ac:dyDescent="0.25"/>
    <row r="358" ht="12.75" customHeight="1" x14ac:dyDescent="0.25"/>
    <row r="359" ht="12.75" customHeight="1" x14ac:dyDescent="0.25"/>
    <row r="360" ht="12.75" customHeight="1" x14ac:dyDescent="0.25"/>
    <row r="361" ht="12.75" customHeight="1" x14ac:dyDescent="0.25"/>
    <row r="362" ht="12.75" customHeight="1" x14ac:dyDescent="0.25"/>
    <row r="363" ht="12.75" customHeight="1" x14ac:dyDescent="0.25"/>
    <row r="364" ht="12.75" customHeight="1" x14ac:dyDescent="0.25"/>
    <row r="365" ht="12.75" customHeight="1" x14ac:dyDescent="0.25"/>
    <row r="366" ht="12.75" customHeight="1" x14ac:dyDescent="0.25"/>
    <row r="367" ht="12.75" customHeight="1" x14ac:dyDescent="0.25"/>
    <row r="368" ht="12.75" customHeight="1" x14ac:dyDescent="0.25"/>
    <row r="369" ht="12.75" customHeight="1" x14ac:dyDescent="0.25"/>
    <row r="370" ht="12.75" customHeight="1" x14ac:dyDescent="0.25"/>
    <row r="371" ht="12.75" customHeight="1" x14ac:dyDescent="0.25"/>
    <row r="372" ht="12.75" customHeight="1" x14ac:dyDescent="0.25"/>
    <row r="373" ht="12.75" customHeight="1" x14ac:dyDescent="0.25"/>
    <row r="374" ht="12.75" customHeight="1" x14ac:dyDescent="0.25"/>
    <row r="375" ht="12.75" customHeight="1" x14ac:dyDescent="0.25"/>
    <row r="376" ht="12.75" customHeight="1" x14ac:dyDescent="0.25"/>
    <row r="377" ht="12.75" customHeight="1" x14ac:dyDescent="0.25"/>
    <row r="378" ht="12.75" customHeight="1" x14ac:dyDescent="0.25"/>
    <row r="379" ht="12.75" customHeight="1" x14ac:dyDescent="0.25"/>
    <row r="380" ht="12.75" customHeight="1" x14ac:dyDescent="0.25"/>
    <row r="381" ht="12.75" customHeight="1" x14ac:dyDescent="0.25"/>
    <row r="382" ht="12.75" customHeight="1" x14ac:dyDescent="0.25"/>
    <row r="383" ht="12.75" customHeight="1" x14ac:dyDescent="0.25"/>
    <row r="384" ht="12.75" customHeight="1" x14ac:dyDescent="0.25"/>
    <row r="385" ht="12.75" customHeight="1" x14ac:dyDescent="0.25"/>
    <row r="386" ht="12.75" customHeight="1" x14ac:dyDescent="0.25"/>
    <row r="387" ht="12.75" customHeight="1" x14ac:dyDescent="0.25"/>
    <row r="388" ht="12.75" customHeight="1" x14ac:dyDescent="0.25"/>
    <row r="389" ht="12.75" customHeight="1" x14ac:dyDescent="0.25"/>
    <row r="390" ht="12.75" customHeight="1" x14ac:dyDescent="0.25"/>
    <row r="391" ht="12.75" customHeight="1" x14ac:dyDescent="0.25"/>
    <row r="392" ht="12.75" customHeight="1" x14ac:dyDescent="0.25"/>
    <row r="393" ht="12.75" customHeight="1" x14ac:dyDescent="0.25"/>
    <row r="394" ht="12.75" customHeight="1" x14ac:dyDescent="0.25"/>
    <row r="395" ht="12.75" customHeight="1" x14ac:dyDescent="0.25"/>
    <row r="396" ht="12.75" customHeight="1" x14ac:dyDescent="0.25"/>
    <row r="397" ht="12.75" customHeight="1" x14ac:dyDescent="0.25"/>
    <row r="398" ht="12.75" customHeight="1" x14ac:dyDescent="0.25"/>
    <row r="399" ht="12.75" customHeight="1" x14ac:dyDescent="0.25"/>
    <row r="400" ht="12.75" customHeight="1" x14ac:dyDescent="0.25"/>
    <row r="401" ht="12.75" customHeight="1" x14ac:dyDescent="0.25"/>
    <row r="402" ht="12.75" customHeight="1" x14ac:dyDescent="0.25"/>
    <row r="403" ht="12.75" customHeight="1" x14ac:dyDescent="0.25"/>
    <row r="404" ht="12.75" customHeight="1" x14ac:dyDescent="0.25"/>
    <row r="405" ht="12.75" customHeight="1" x14ac:dyDescent="0.25"/>
    <row r="406" ht="12.75" customHeight="1" x14ac:dyDescent="0.25"/>
    <row r="407" ht="12.75" customHeight="1" x14ac:dyDescent="0.25"/>
    <row r="408" ht="12.75" customHeight="1" x14ac:dyDescent="0.25"/>
    <row r="409" ht="12.75" customHeight="1" x14ac:dyDescent="0.25"/>
    <row r="410" ht="12.75" customHeight="1" x14ac:dyDescent="0.25"/>
    <row r="411" ht="12.75" customHeight="1" x14ac:dyDescent="0.25"/>
    <row r="412" ht="12.75" customHeight="1" x14ac:dyDescent="0.25"/>
    <row r="413" ht="12.75" customHeight="1" x14ac:dyDescent="0.25"/>
    <row r="414" ht="12.75" customHeight="1" x14ac:dyDescent="0.25"/>
    <row r="415" ht="12.75" customHeight="1" x14ac:dyDescent="0.25"/>
    <row r="416" ht="12.75" customHeight="1" x14ac:dyDescent="0.25"/>
    <row r="417" ht="12.75" customHeight="1" x14ac:dyDescent="0.25"/>
    <row r="418" ht="12.75" customHeight="1" x14ac:dyDescent="0.25"/>
    <row r="419" ht="12.75" customHeight="1" x14ac:dyDescent="0.25"/>
    <row r="420" ht="12.75" customHeight="1" x14ac:dyDescent="0.25"/>
    <row r="421" ht="12.75" customHeight="1" x14ac:dyDescent="0.25"/>
    <row r="422" ht="12.75" customHeight="1" x14ac:dyDescent="0.25"/>
    <row r="423" ht="12.75" customHeight="1" x14ac:dyDescent="0.25"/>
    <row r="424" ht="12.75" customHeight="1" x14ac:dyDescent="0.25"/>
    <row r="425" ht="12.75" customHeight="1" x14ac:dyDescent="0.25"/>
    <row r="426" ht="12.75" customHeight="1" x14ac:dyDescent="0.25"/>
    <row r="427" ht="12.75" customHeight="1" x14ac:dyDescent="0.25"/>
    <row r="428" ht="12.75" customHeight="1" x14ac:dyDescent="0.25"/>
    <row r="429" ht="12.75" customHeight="1" x14ac:dyDescent="0.25"/>
    <row r="430" ht="12.75" customHeight="1" x14ac:dyDescent="0.25"/>
    <row r="431" ht="12.75" customHeight="1" x14ac:dyDescent="0.25"/>
    <row r="432" ht="12.75" customHeight="1" x14ac:dyDescent="0.25"/>
    <row r="433" ht="12.75" customHeight="1" x14ac:dyDescent="0.25"/>
    <row r="434" ht="12.75" customHeight="1" x14ac:dyDescent="0.25"/>
    <row r="435" ht="12.75" customHeight="1" x14ac:dyDescent="0.25"/>
    <row r="436" ht="12.75" customHeight="1" x14ac:dyDescent="0.25"/>
    <row r="437" ht="12.75" customHeight="1" x14ac:dyDescent="0.25"/>
    <row r="438" ht="12.75" customHeight="1" x14ac:dyDescent="0.25"/>
    <row r="439" ht="12.75" customHeight="1" x14ac:dyDescent="0.25"/>
    <row r="440" ht="12.75" customHeight="1" x14ac:dyDescent="0.25"/>
    <row r="441" ht="12.75" customHeight="1" x14ac:dyDescent="0.25"/>
    <row r="442" ht="12.75" customHeight="1" x14ac:dyDescent="0.25"/>
    <row r="443" ht="12.75" customHeight="1" x14ac:dyDescent="0.25"/>
    <row r="444" ht="12.75" customHeight="1" x14ac:dyDescent="0.25"/>
    <row r="445" ht="12.75" customHeight="1" x14ac:dyDescent="0.25"/>
    <row r="446" ht="12.75" customHeight="1" x14ac:dyDescent="0.25"/>
    <row r="447" ht="12.75" customHeight="1" x14ac:dyDescent="0.25"/>
    <row r="448" ht="12.75" customHeight="1" x14ac:dyDescent="0.25"/>
    <row r="449" ht="12.75" customHeight="1" x14ac:dyDescent="0.25"/>
    <row r="450" ht="12.75" customHeight="1" x14ac:dyDescent="0.25"/>
    <row r="451" ht="12.75" customHeight="1" x14ac:dyDescent="0.25"/>
    <row r="452" ht="12.75" customHeight="1" x14ac:dyDescent="0.25"/>
    <row r="453" ht="12.75" customHeight="1" x14ac:dyDescent="0.25"/>
    <row r="454" ht="12.75" customHeight="1" x14ac:dyDescent="0.25"/>
    <row r="455" ht="12.75" customHeight="1" x14ac:dyDescent="0.25"/>
    <row r="456" ht="12.75" customHeight="1" x14ac:dyDescent="0.25"/>
    <row r="457" ht="12.75" customHeight="1" x14ac:dyDescent="0.25"/>
    <row r="458" ht="12.75" customHeight="1" x14ac:dyDescent="0.25"/>
    <row r="459" ht="12.75" customHeight="1" x14ac:dyDescent="0.25"/>
    <row r="460" ht="12.75" customHeight="1" x14ac:dyDescent="0.25"/>
    <row r="461" ht="12.75" customHeight="1" x14ac:dyDescent="0.25"/>
    <row r="462" ht="12.75" customHeight="1" x14ac:dyDescent="0.25"/>
    <row r="463" ht="12.75" customHeight="1" x14ac:dyDescent="0.25"/>
    <row r="464" ht="12.75" customHeight="1" x14ac:dyDescent="0.25"/>
    <row r="465" ht="12.75" customHeight="1" x14ac:dyDescent="0.25"/>
    <row r="466" ht="12.75" customHeight="1" x14ac:dyDescent="0.25"/>
    <row r="467" ht="12.75" customHeight="1" x14ac:dyDescent="0.25"/>
    <row r="468" ht="12.75" customHeight="1" x14ac:dyDescent="0.25"/>
    <row r="469" ht="12.75" customHeight="1" x14ac:dyDescent="0.25"/>
    <row r="470" ht="12.75" customHeight="1" x14ac:dyDescent="0.25"/>
    <row r="471" ht="12.75" customHeight="1" x14ac:dyDescent="0.25"/>
    <row r="472" ht="12.75" customHeight="1" x14ac:dyDescent="0.25"/>
    <row r="473" ht="12.75" customHeight="1" x14ac:dyDescent="0.25"/>
    <row r="474" ht="12.75" customHeight="1" x14ac:dyDescent="0.25"/>
    <row r="475" ht="12.75" customHeight="1" x14ac:dyDescent="0.25"/>
    <row r="476" ht="12.75" customHeight="1" x14ac:dyDescent="0.25"/>
    <row r="477" ht="12.75" customHeight="1" x14ac:dyDescent="0.25"/>
    <row r="478" ht="12.75" customHeight="1" x14ac:dyDescent="0.25"/>
    <row r="479" ht="12.75" customHeight="1" x14ac:dyDescent="0.25"/>
    <row r="480" ht="12.75" customHeight="1" x14ac:dyDescent="0.25"/>
    <row r="481" ht="12.75" customHeight="1" x14ac:dyDescent="0.25"/>
    <row r="482" ht="12.75" customHeight="1" x14ac:dyDescent="0.25"/>
    <row r="483" ht="12.75" customHeight="1" x14ac:dyDescent="0.25"/>
    <row r="484" ht="12.75" customHeight="1" x14ac:dyDescent="0.25"/>
    <row r="485" ht="12.75" customHeight="1" x14ac:dyDescent="0.25"/>
    <row r="486" ht="12.75" customHeight="1" x14ac:dyDescent="0.25"/>
    <row r="487" ht="12.75" customHeight="1" x14ac:dyDescent="0.25"/>
    <row r="488" ht="12.75" customHeight="1" x14ac:dyDescent="0.25"/>
    <row r="489" ht="12.75" customHeight="1" x14ac:dyDescent="0.25"/>
    <row r="490" ht="12.75" customHeight="1" x14ac:dyDescent="0.25"/>
    <row r="491" ht="12.75" customHeight="1" x14ac:dyDescent="0.25"/>
    <row r="492" ht="12.75" customHeight="1" x14ac:dyDescent="0.25"/>
    <row r="493" ht="12.75" customHeight="1" x14ac:dyDescent="0.25"/>
    <row r="494" ht="12.75" customHeight="1" x14ac:dyDescent="0.25"/>
    <row r="495" ht="12.75" customHeight="1" x14ac:dyDescent="0.25"/>
    <row r="496" ht="12.75" customHeight="1" x14ac:dyDescent="0.25"/>
    <row r="497" ht="12.75" customHeight="1" x14ac:dyDescent="0.25"/>
    <row r="498" ht="12.75" customHeight="1" x14ac:dyDescent="0.25"/>
    <row r="499" ht="12.75" customHeight="1" x14ac:dyDescent="0.25"/>
    <row r="500" ht="12.75" customHeight="1" x14ac:dyDescent="0.25"/>
    <row r="501" ht="12.75" customHeight="1" x14ac:dyDescent="0.25"/>
    <row r="502" ht="12.75" customHeight="1" x14ac:dyDescent="0.25"/>
    <row r="503" ht="12.75" customHeight="1" x14ac:dyDescent="0.25"/>
    <row r="504" ht="12.75" customHeight="1" x14ac:dyDescent="0.25"/>
    <row r="505" ht="12.75" customHeight="1" x14ac:dyDescent="0.25"/>
    <row r="506" ht="12.75" customHeight="1" x14ac:dyDescent="0.25"/>
    <row r="507" ht="12.75" customHeight="1" x14ac:dyDescent="0.25"/>
    <row r="508" ht="12.75" customHeight="1" x14ac:dyDescent="0.25"/>
    <row r="509" ht="12.75" customHeight="1" x14ac:dyDescent="0.25"/>
    <row r="510" ht="12.75" customHeight="1" x14ac:dyDescent="0.25"/>
    <row r="511" ht="12.75" customHeight="1" x14ac:dyDescent="0.25"/>
    <row r="512" ht="12.75" customHeight="1" x14ac:dyDescent="0.25"/>
    <row r="513" ht="12.75" customHeight="1" x14ac:dyDescent="0.25"/>
    <row r="514" ht="12.75" customHeight="1" x14ac:dyDescent="0.25"/>
    <row r="515" ht="12.75" customHeight="1" x14ac:dyDescent="0.25"/>
    <row r="516" ht="12.75" customHeight="1" x14ac:dyDescent="0.25"/>
    <row r="517" ht="12.75" customHeight="1" x14ac:dyDescent="0.25"/>
    <row r="518" ht="12.75" customHeight="1" x14ac:dyDescent="0.25"/>
    <row r="519" ht="12.75" customHeight="1" x14ac:dyDescent="0.25"/>
    <row r="520" ht="12.75" customHeight="1" x14ac:dyDescent="0.25"/>
    <row r="521" ht="12.75" customHeight="1" x14ac:dyDescent="0.25"/>
    <row r="522" ht="12.75" customHeight="1" x14ac:dyDescent="0.25"/>
    <row r="523" ht="12.75" customHeight="1" x14ac:dyDescent="0.25"/>
    <row r="524" ht="12.75" customHeight="1" x14ac:dyDescent="0.25"/>
    <row r="525" ht="12.75" customHeight="1" x14ac:dyDescent="0.25"/>
    <row r="526" ht="12.75" customHeight="1" x14ac:dyDescent="0.25"/>
    <row r="527" ht="12.75" customHeight="1" x14ac:dyDescent="0.25"/>
    <row r="528" ht="12.75" customHeight="1" x14ac:dyDescent="0.25"/>
    <row r="529" ht="12.75" customHeight="1" x14ac:dyDescent="0.25"/>
    <row r="530" ht="12.75" customHeight="1" x14ac:dyDescent="0.25"/>
    <row r="531" ht="12.75" customHeight="1" x14ac:dyDescent="0.25"/>
    <row r="532" ht="12.75" customHeight="1" x14ac:dyDescent="0.25"/>
    <row r="533" ht="12.75" customHeight="1" x14ac:dyDescent="0.25"/>
    <row r="534" ht="12.75" customHeight="1" x14ac:dyDescent="0.25"/>
    <row r="535" ht="12.75" customHeight="1" x14ac:dyDescent="0.25"/>
    <row r="536" ht="12.75" customHeight="1" x14ac:dyDescent="0.25"/>
    <row r="537" ht="12.75" customHeight="1" x14ac:dyDescent="0.25"/>
    <row r="538" ht="12.75" customHeight="1" x14ac:dyDescent="0.25"/>
    <row r="539" ht="12.75" customHeight="1" x14ac:dyDescent="0.25"/>
    <row r="540" ht="12.75" customHeight="1" x14ac:dyDescent="0.25"/>
    <row r="541" ht="12.75" customHeight="1" x14ac:dyDescent="0.25"/>
    <row r="542" ht="12.75" customHeight="1" x14ac:dyDescent="0.25"/>
    <row r="543" ht="12.75" customHeight="1" x14ac:dyDescent="0.25"/>
    <row r="544" ht="12.75" customHeight="1" x14ac:dyDescent="0.25"/>
    <row r="545" ht="12.75" customHeight="1" x14ac:dyDescent="0.25"/>
    <row r="546" ht="12.75" customHeight="1" x14ac:dyDescent="0.25"/>
    <row r="547" ht="12.75" customHeight="1" x14ac:dyDescent="0.25"/>
    <row r="548" ht="12.75" customHeight="1" x14ac:dyDescent="0.25"/>
    <row r="549" ht="12.75" customHeight="1" x14ac:dyDescent="0.25"/>
    <row r="550" ht="12.75" customHeight="1" x14ac:dyDescent="0.25"/>
    <row r="551" ht="12.75" customHeight="1" x14ac:dyDescent="0.25"/>
    <row r="552" ht="12.75" customHeight="1" x14ac:dyDescent="0.25"/>
    <row r="553" ht="12.75" customHeight="1" x14ac:dyDescent="0.25"/>
    <row r="554" ht="12.75" customHeight="1" x14ac:dyDescent="0.25"/>
    <row r="555" ht="12.75" customHeight="1" x14ac:dyDescent="0.25"/>
    <row r="556" ht="12.75" customHeight="1" x14ac:dyDescent="0.25"/>
    <row r="557" ht="12.75" customHeight="1" x14ac:dyDescent="0.25"/>
    <row r="558" ht="12.75" customHeight="1" x14ac:dyDescent="0.25"/>
    <row r="559" ht="12.75" customHeight="1" x14ac:dyDescent="0.25"/>
    <row r="560" ht="12.75" customHeight="1" x14ac:dyDescent="0.25"/>
    <row r="561" ht="12.75" customHeight="1" x14ac:dyDescent="0.25"/>
    <row r="562" ht="12.75" customHeight="1" x14ac:dyDescent="0.25"/>
    <row r="563" ht="12.75" customHeight="1" x14ac:dyDescent="0.25"/>
    <row r="564" ht="12.75" customHeight="1" x14ac:dyDescent="0.25"/>
    <row r="565" ht="12.75" customHeight="1" x14ac:dyDescent="0.25"/>
    <row r="566" ht="12.75" customHeight="1" x14ac:dyDescent="0.25"/>
    <row r="567" ht="12.75" customHeight="1" x14ac:dyDescent="0.25"/>
    <row r="568" ht="12.75" customHeight="1" x14ac:dyDescent="0.25"/>
    <row r="569" ht="12.75" customHeight="1" x14ac:dyDescent="0.25"/>
    <row r="570" ht="12.75" customHeight="1" x14ac:dyDescent="0.25"/>
    <row r="571" ht="12.75" customHeight="1" x14ac:dyDescent="0.25"/>
    <row r="572" ht="12.75" customHeight="1" x14ac:dyDescent="0.25"/>
    <row r="573" ht="12.75" customHeight="1" x14ac:dyDescent="0.25"/>
    <row r="574" ht="12.75" customHeight="1" x14ac:dyDescent="0.25"/>
    <row r="575" ht="12.75" customHeight="1" x14ac:dyDescent="0.25"/>
    <row r="576" ht="12.75" customHeight="1" x14ac:dyDescent="0.25"/>
    <row r="577" ht="12.75" customHeight="1" x14ac:dyDescent="0.25"/>
    <row r="578" ht="12.75" customHeight="1" x14ac:dyDescent="0.25"/>
    <row r="579" ht="12.75" customHeight="1" x14ac:dyDescent="0.25"/>
    <row r="580" ht="12.75" customHeight="1" x14ac:dyDescent="0.25"/>
    <row r="581" ht="12.75" customHeight="1" x14ac:dyDescent="0.25"/>
    <row r="582" ht="12.75" customHeight="1" x14ac:dyDescent="0.25"/>
    <row r="583" ht="12.75" customHeight="1" x14ac:dyDescent="0.25"/>
    <row r="584" ht="12.75" customHeight="1" x14ac:dyDescent="0.25"/>
    <row r="585" ht="12.75" customHeight="1" x14ac:dyDescent="0.25"/>
    <row r="586" ht="12.75" customHeight="1" x14ac:dyDescent="0.25"/>
    <row r="587" ht="12.75" customHeight="1" x14ac:dyDescent="0.25"/>
    <row r="588" ht="12.75" customHeight="1" x14ac:dyDescent="0.25"/>
    <row r="589" ht="12.75" customHeight="1" x14ac:dyDescent="0.25"/>
    <row r="590" ht="12.75" customHeight="1" x14ac:dyDescent="0.25"/>
    <row r="591" ht="12.75" customHeight="1" x14ac:dyDescent="0.25"/>
    <row r="592" ht="12.75" customHeight="1" x14ac:dyDescent="0.25"/>
    <row r="593" ht="12.75" customHeight="1" x14ac:dyDescent="0.25"/>
    <row r="594" ht="12.75" customHeight="1" x14ac:dyDescent="0.25"/>
    <row r="595" ht="12.75" customHeight="1" x14ac:dyDescent="0.25"/>
    <row r="596" ht="12.75" customHeight="1" x14ac:dyDescent="0.25"/>
    <row r="597" ht="12.75" customHeight="1" x14ac:dyDescent="0.25"/>
    <row r="598" ht="12.75" customHeight="1" x14ac:dyDescent="0.25"/>
    <row r="599" ht="12.75" customHeight="1" x14ac:dyDescent="0.25"/>
    <row r="600" ht="12.75" customHeight="1" x14ac:dyDescent="0.25"/>
    <row r="601" ht="12.75" customHeight="1" x14ac:dyDescent="0.25"/>
    <row r="602" ht="12.75" customHeight="1" x14ac:dyDescent="0.25"/>
    <row r="603" ht="12.75" customHeight="1" x14ac:dyDescent="0.25"/>
    <row r="604" ht="12.75" customHeight="1" x14ac:dyDescent="0.25"/>
    <row r="605" ht="12.75" customHeight="1" x14ac:dyDescent="0.25"/>
    <row r="606" ht="12.75" customHeight="1" x14ac:dyDescent="0.25"/>
    <row r="607" ht="12.75" customHeight="1" x14ac:dyDescent="0.25"/>
    <row r="608" ht="12.75" customHeight="1" x14ac:dyDescent="0.25"/>
    <row r="609" ht="12.75" customHeight="1" x14ac:dyDescent="0.25"/>
    <row r="610" ht="12.75" customHeight="1" x14ac:dyDescent="0.25"/>
    <row r="611" ht="12.75" customHeight="1" x14ac:dyDescent="0.25"/>
    <row r="612" ht="12.75" customHeight="1" x14ac:dyDescent="0.25"/>
    <row r="613" ht="12.75" customHeight="1" x14ac:dyDescent="0.25"/>
    <row r="614" ht="12.75" customHeight="1" x14ac:dyDescent="0.25"/>
    <row r="615" ht="12.75" customHeight="1" x14ac:dyDescent="0.25"/>
    <row r="616" ht="12.75" customHeight="1" x14ac:dyDescent="0.25"/>
    <row r="617" ht="12.75" customHeight="1" x14ac:dyDescent="0.25"/>
    <row r="618" ht="12.75" customHeight="1" x14ac:dyDescent="0.25"/>
    <row r="619" ht="12.75" customHeight="1" x14ac:dyDescent="0.25"/>
    <row r="620" ht="12.75" customHeight="1" x14ac:dyDescent="0.25"/>
    <row r="621" ht="12.75" customHeight="1" x14ac:dyDescent="0.25"/>
    <row r="622" ht="12.75" customHeight="1" x14ac:dyDescent="0.25"/>
    <row r="623" ht="12.75" customHeight="1" x14ac:dyDescent="0.25"/>
    <row r="624" ht="12.75" customHeight="1" x14ac:dyDescent="0.25"/>
    <row r="625" ht="12.75" customHeight="1" x14ac:dyDescent="0.25"/>
    <row r="626" ht="12.75" customHeight="1" x14ac:dyDescent="0.25"/>
    <row r="627" ht="12.75" customHeight="1" x14ac:dyDescent="0.25"/>
    <row r="628" ht="12.75" customHeight="1" x14ac:dyDescent="0.25"/>
    <row r="629" ht="12.75" customHeight="1" x14ac:dyDescent="0.25"/>
    <row r="630" ht="12.75" customHeight="1" x14ac:dyDescent="0.25"/>
    <row r="631" ht="12.75" customHeight="1" x14ac:dyDescent="0.25"/>
    <row r="632" ht="12.75" customHeight="1" x14ac:dyDescent="0.25"/>
    <row r="633" ht="12.75" customHeight="1" x14ac:dyDescent="0.25"/>
    <row r="634" ht="12.75" customHeight="1" x14ac:dyDescent="0.25"/>
    <row r="635" ht="12.75" customHeight="1" x14ac:dyDescent="0.25"/>
    <row r="636" ht="12.75" customHeight="1" x14ac:dyDescent="0.25"/>
    <row r="637" ht="12.75" customHeight="1" x14ac:dyDescent="0.25"/>
    <row r="638" ht="12.75" customHeight="1" x14ac:dyDescent="0.25"/>
    <row r="639" ht="12.75" customHeight="1" x14ac:dyDescent="0.25"/>
    <row r="640" ht="12.75" customHeight="1" x14ac:dyDescent="0.25"/>
    <row r="641" ht="12.75" customHeight="1" x14ac:dyDescent="0.25"/>
    <row r="642" ht="12.75" customHeight="1" x14ac:dyDescent="0.25"/>
    <row r="643" ht="12.75" customHeight="1" x14ac:dyDescent="0.25"/>
    <row r="644" ht="12.75" customHeight="1" x14ac:dyDescent="0.25"/>
    <row r="645" ht="12.75" customHeight="1" x14ac:dyDescent="0.25"/>
    <row r="646" ht="12.75" customHeight="1" x14ac:dyDescent="0.25"/>
    <row r="647" ht="12.75" customHeight="1" x14ac:dyDescent="0.25"/>
    <row r="648" ht="12.75" customHeight="1" x14ac:dyDescent="0.25"/>
    <row r="649" ht="12.75" customHeight="1" x14ac:dyDescent="0.25"/>
    <row r="650" ht="12.75" customHeight="1" x14ac:dyDescent="0.25"/>
    <row r="651" ht="12.75" customHeight="1" x14ac:dyDescent="0.25"/>
    <row r="652" ht="12.75" customHeight="1" x14ac:dyDescent="0.25"/>
    <row r="653" ht="12.75" customHeight="1" x14ac:dyDescent="0.25"/>
    <row r="654" ht="12.75" customHeight="1" x14ac:dyDescent="0.25"/>
    <row r="655" ht="12.75" customHeight="1" x14ac:dyDescent="0.25"/>
    <row r="656" ht="12.75" customHeight="1" x14ac:dyDescent="0.25"/>
    <row r="657" ht="12.75" customHeight="1" x14ac:dyDescent="0.25"/>
    <row r="658" ht="12.75" customHeight="1" x14ac:dyDescent="0.25"/>
    <row r="659" ht="12.75" customHeight="1" x14ac:dyDescent="0.25"/>
    <row r="660" ht="12.75" customHeight="1" x14ac:dyDescent="0.25"/>
    <row r="661" ht="12.75" customHeight="1" x14ac:dyDescent="0.25"/>
    <row r="662" ht="12.75" customHeight="1" x14ac:dyDescent="0.25"/>
    <row r="663" ht="12.75" customHeight="1" x14ac:dyDescent="0.25"/>
    <row r="664" ht="12.75" customHeight="1" x14ac:dyDescent="0.25"/>
    <row r="665" ht="12.75" customHeight="1" x14ac:dyDescent="0.25"/>
    <row r="666" ht="12.75" customHeight="1" x14ac:dyDescent="0.25"/>
    <row r="667" ht="12.75" customHeight="1" x14ac:dyDescent="0.25"/>
    <row r="668" ht="12.75" customHeight="1" x14ac:dyDescent="0.25"/>
    <row r="669" ht="12.75" customHeight="1" x14ac:dyDescent="0.25"/>
    <row r="670" ht="12.75" customHeight="1" x14ac:dyDescent="0.25"/>
    <row r="671" ht="12.75" customHeight="1" x14ac:dyDescent="0.25"/>
    <row r="672" ht="12.75" customHeight="1" x14ac:dyDescent="0.25"/>
    <row r="673" ht="12.75" customHeight="1" x14ac:dyDescent="0.25"/>
    <row r="674" ht="12.75" customHeight="1" x14ac:dyDescent="0.25"/>
    <row r="675" ht="12.75" customHeight="1" x14ac:dyDescent="0.25"/>
    <row r="676" ht="12.75" customHeight="1" x14ac:dyDescent="0.25"/>
    <row r="677" ht="12.75" customHeight="1" x14ac:dyDescent="0.25"/>
    <row r="678" ht="12.75" customHeight="1" x14ac:dyDescent="0.25"/>
    <row r="679" ht="12.75" customHeight="1" x14ac:dyDescent="0.25"/>
    <row r="680" ht="12.75" customHeight="1" x14ac:dyDescent="0.25"/>
    <row r="681" ht="12.75" customHeight="1" x14ac:dyDescent="0.25"/>
    <row r="682" ht="12.75" customHeight="1" x14ac:dyDescent="0.25"/>
    <row r="683" ht="12.75" customHeight="1" x14ac:dyDescent="0.25"/>
    <row r="684" ht="12.75" customHeight="1" x14ac:dyDescent="0.25"/>
    <row r="685" ht="12.75" customHeight="1" x14ac:dyDescent="0.25"/>
    <row r="686" ht="12.75" customHeight="1" x14ac:dyDescent="0.25"/>
    <row r="687" ht="12.75" customHeight="1" x14ac:dyDescent="0.25"/>
    <row r="688" ht="12.75" customHeight="1" x14ac:dyDescent="0.25"/>
    <row r="689" ht="12.75" customHeight="1" x14ac:dyDescent="0.25"/>
    <row r="690" ht="12.75" customHeight="1" x14ac:dyDescent="0.25"/>
    <row r="691" ht="12.75" customHeight="1" x14ac:dyDescent="0.25"/>
    <row r="692" ht="12.75" customHeight="1" x14ac:dyDescent="0.25"/>
    <row r="693" ht="12.75" customHeight="1" x14ac:dyDescent="0.25"/>
    <row r="694" ht="12.75" customHeight="1" x14ac:dyDescent="0.25"/>
    <row r="695" ht="12.75" customHeight="1" x14ac:dyDescent="0.25"/>
    <row r="696" ht="12.75" customHeight="1" x14ac:dyDescent="0.25"/>
    <row r="697" ht="12.75" customHeight="1" x14ac:dyDescent="0.25"/>
    <row r="698" ht="12.75" customHeight="1" x14ac:dyDescent="0.25"/>
    <row r="699" ht="12.75" customHeight="1" x14ac:dyDescent="0.25"/>
    <row r="700" ht="12.75" customHeight="1" x14ac:dyDescent="0.25"/>
    <row r="701" ht="12.75" customHeight="1" x14ac:dyDescent="0.25"/>
    <row r="702" ht="12.75" customHeight="1" x14ac:dyDescent="0.25"/>
    <row r="703" ht="12.75" customHeight="1" x14ac:dyDescent="0.25"/>
    <row r="704" ht="12.75" customHeight="1" x14ac:dyDescent="0.25"/>
    <row r="705" ht="12.75" customHeight="1" x14ac:dyDescent="0.25"/>
    <row r="706" ht="12.75" customHeight="1" x14ac:dyDescent="0.25"/>
    <row r="707" ht="12.75" customHeight="1" x14ac:dyDescent="0.25"/>
    <row r="708" ht="12.75" customHeight="1" x14ac:dyDescent="0.25"/>
    <row r="709" ht="12.75" customHeight="1" x14ac:dyDescent="0.25"/>
    <row r="710" ht="12.75" customHeight="1" x14ac:dyDescent="0.25"/>
    <row r="711" ht="12.75" customHeight="1" x14ac:dyDescent="0.25"/>
    <row r="712" ht="12.75" customHeight="1" x14ac:dyDescent="0.25"/>
    <row r="713" ht="12.75" customHeight="1" x14ac:dyDescent="0.25"/>
    <row r="714" ht="12.75" customHeight="1" x14ac:dyDescent="0.25"/>
    <row r="715" ht="12.75" customHeight="1" x14ac:dyDescent="0.25"/>
    <row r="716" ht="12.75" customHeight="1" x14ac:dyDescent="0.25"/>
    <row r="717" ht="12.75" customHeight="1" x14ac:dyDescent="0.25"/>
    <row r="718" ht="12.75" customHeight="1" x14ac:dyDescent="0.25"/>
    <row r="719" ht="12.75" customHeight="1" x14ac:dyDescent="0.25"/>
    <row r="720" ht="12.75" customHeight="1" x14ac:dyDescent="0.25"/>
    <row r="721" ht="12.75" customHeight="1" x14ac:dyDescent="0.25"/>
    <row r="722" ht="12.75" customHeight="1" x14ac:dyDescent="0.25"/>
    <row r="723" ht="12.75" customHeight="1" x14ac:dyDescent="0.25"/>
    <row r="724" ht="12.75" customHeight="1" x14ac:dyDescent="0.25"/>
    <row r="725" ht="12.75" customHeight="1" x14ac:dyDescent="0.25"/>
    <row r="726" ht="12.75" customHeight="1" x14ac:dyDescent="0.25"/>
    <row r="727" ht="12.75" customHeight="1" x14ac:dyDescent="0.25"/>
    <row r="728" ht="12.75" customHeight="1" x14ac:dyDescent="0.25"/>
    <row r="729" ht="12.75" customHeight="1" x14ac:dyDescent="0.25"/>
    <row r="730" ht="12.75" customHeight="1" x14ac:dyDescent="0.25"/>
    <row r="731" ht="12.75" customHeight="1" x14ac:dyDescent="0.25"/>
    <row r="732" ht="12.75" customHeight="1" x14ac:dyDescent="0.25"/>
    <row r="733" ht="12.75" customHeight="1" x14ac:dyDescent="0.25"/>
    <row r="734" ht="12.75" customHeight="1" x14ac:dyDescent="0.25"/>
    <row r="735" ht="12.75" customHeight="1" x14ac:dyDescent="0.25"/>
    <row r="736" ht="12.75" customHeight="1" x14ac:dyDescent="0.25"/>
    <row r="737" ht="12.75" customHeight="1" x14ac:dyDescent="0.25"/>
    <row r="738" ht="12.75" customHeight="1" x14ac:dyDescent="0.25"/>
    <row r="739" ht="12.75" customHeight="1" x14ac:dyDescent="0.25"/>
    <row r="740" ht="12.75" customHeight="1" x14ac:dyDescent="0.25"/>
    <row r="741" ht="12.75" customHeight="1" x14ac:dyDescent="0.25"/>
    <row r="742" ht="12.75" customHeight="1" x14ac:dyDescent="0.25"/>
    <row r="743" ht="12.75" customHeight="1" x14ac:dyDescent="0.25"/>
    <row r="744" ht="12.75" customHeight="1" x14ac:dyDescent="0.25"/>
    <row r="745" ht="12.75" customHeight="1" x14ac:dyDescent="0.25"/>
    <row r="746" ht="12.75" customHeight="1" x14ac:dyDescent="0.25"/>
    <row r="747" ht="12.75" customHeight="1" x14ac:dyDescent="0.25"/>
    <row r="748" ht="12.75" customHeight="1" x14ac:dyDescent="0.25"/>
    <row r="749" ht="12.75" customHeight="1" x14ac:dyDescent="0.25"/>
    <row r="750" ht="12.75" customHeight="1" x14ac:dyDescent="0.25"/>
    <row r="751" ht="12.75" customHeight="1" x14ac:dyDescent="0.25"/>
    <row r="752" ht="12.75" customHeight="1" x14ac:dyDescent="0.25"/>
    <row r="753" ht="12.75" customHeight="1" x14ac:dyDescent="0.25"/>
    <row r="754" ht="12.75" customHeight="1" x14ac:dyDescent="0.25"/>
    <row r="755" ht="12.75" customHeight="1" x14ac:dyDescent="0.25"/>
    <row r="756" ht="12.75" customHeight="1" x14ac:dyDescent="0.25"/>
    <row r="757" ht="12.75" customHeight="1" x14ac:dyDescent="0.25"/>
    <row r="758" ht="12.75" customHeight="1" x14ac:dyDescent="0.25"/>
    <row r="759" ht="12.75" customHeight="1" x14ac:dyDescent="0.25"/>
    <row r="760" ht="12.75" customHeight="1" x14ac:dyDescent="0.25"/>
    <row r="761" ht="12.75" customHeight="1" x14ac:dyDescent="0.25"/>
    <row r="762" ht="12.75" customHeight="1" x14ac:dyDescent="0.25"/>
    <row r="763" ht="12.75" customHeight="1" x14ac:dyDescent="0.25"/>
    <row r="764" ht="12.75" customHeight="1" x14ac:dyDescent="0.25"/>
    <row r="765" ht="12.75" customHeight="1" x14ac:dyDescent="0.25"/>
    <row r="766" ht="12.75" customHeight="1" x14ac:dyDescent="0.25"/>
    <row r="767" ht="12.75" customHeight="1" x14ac:dyDescent="0.25"/>
    <row r="768" ht="12.75" customHeight="1" x14ac:dyDescent="0.25"/>
    <row r="769" ht="12.75" customHeight="1" x14ac:dyDescent="0.25"/>
    <row r="770" ht="12.75" customHeight="1" x14ac:dyDescent="0.25"/>
    <row r="771" ht="12.75" customHeight="1" x14ac:dyDescent="0.25"/>
    <row r="772" ht="12.75" customHeight="1" x14ac:dyDescent="0.25"/>
    <row r="773" ht="12.75" customHeight="1" x14ac:dyDescent="0.25"/>
    <row r="774" ht="12.75" customHeight="1" x14ac:dyDescent="0.25"/>
    <row r="775" ht="12.75" customHeight="1" x14ac:dyDescent="0.25"/>
    <row r="776" ht="12.75" customHeight="1" x14ac:dyDescent="0.25"/>
    <row r="777" ht="12.75" customHeight="1" x14ac:dyDescent="0.25"/>
    <row r="778" ht="12.75" customHeight="1" x14ac:dyDescent="0.25"/>
    <row r="779" ht="12.75" customHeight="1" x14ac:dyDescent="0.25"/>
    <row r="780" ht="12.75" customHeight="1" x14ac:dyDescent="0.25"/>
    <row r="781" ht="12.75" customHeight="1" x14ac:dyDescent="0.25"/>
    <row r="782" ht="12.75" customHeight="1" x14ac:dyDescent="0.25"/>
    <row r="783" ht="12.75" customHeight="1" x14ac:dyDescent="0.25"/>
    <row r="784" ht="12.75" customHeight="1" x14ac:dyDescent="0.25"/>
    <row r="785" ht="12.75" customHeight="1" x14ac:dyDescent="0.25"/>
    <row r="786" ht="12.75" customHeight="1" x14ac:dyDescent="0.25"/>
    <row r="787" ht="12.75" customHeight="1" x14ac:dyDescent="0.25"/>
    <row r="788" ht="12.75" customHeight="1" x14ac:dyDescent="0.25"/>
    <row r="789" ht="12.75" customHeight="1" x14ac:dyDescent="0.25"/>
    <row r="790" ht="12.75" customHeight="1" x14ac:dyDescent="0.25"/>
    <row r="791" ht="12.75" customHeight="1" x14ac:dyDescent="0.25"/>
    <row r="792" ht="12.75" customHeight="1" x14ac:dyDescent="0.25"/>
    <row r="793" ht="12.75" customHeight="1" x14ac:dyDescent="0.25"/>
    <row r="794" ht="12.75" customHeight="1" x14ac:dyDescent="0.25"/>
    <row r="795" ht="12.75" customHeight="1" x14ac:dyDescent="0.25"/>
    <row r="796" ht="12.75" customHeight="1" x14ac:dyDescent="0.25"/>
    <row r="797" ht="12.75" customHeight="1" x14ac:dyDescent="0.25"/>
    <row r="798" ht="12.75" customHeight="1" x14ac:dyDescent="0.25"/>
    <row r="799" ht="12.75" customHeight="1" x14ac:dyDescent="0.25"/>
    <row r="800" ht="12.75" customHeight="1" x14ac:dyDescent="0.25"/>
    <row r="801" ht="12.75" customHeight="1" x14ac:dyDescent="0.25"/>
    <row r="802" ht="12.75" customHeight="1" x14ac:dyDescent="0.25"/>
    <row r="803" ht="12.75" customHeight="1" x14ac:dyDescent="0.25"/>
    <row r="804" ht="12.75" customHeight="1" x14ac:dyDescent="0.25"/>
    <row r="805" ht="12.75" customHeight="1" x14ac:dyDescent="0.25"/>
    <row r="806" ht="12.75" customHeight="1" x14ac:dyDescent="0.25"/>
    <row r="807" ht="12.75" customHeight="1" x14ac:dyDescent="0.25"/>
    <row r="808" ht="12.75" customHeight="1" x14ac:dyDescent="0.25"/>
    <row r="809" ht="12.75" customHeight="1" x14ac:dyDescent="0.25"/>
    <row r="810" ht="12.75" customHeight="1" x14ac:dyDescent="0.25"/>
    <row r="811" ht="12.75" customHeight="1" x14ac:dyDescent="0.25"/>
    <row r="812" ht="12.75" customHeight="1" x14ac:dyDescent="0.25"/>
    <row r="813" ht="12.75" customHeight="1" x14ac:dyDescent="0.25"/>
    <row r="814" ht="12.75" customHeight="1" x14ac:dyDescent="0.25"/>
    <row r="815" ht="12.75" customHeight="1" x14ac:dyDescent="0.25"/>
    <row r="816" ht="12.75" customHeight="1" x14ac:dyDescent="0.25"/>
    <row r="817" ht="12.75" customHeight="1" x14ac:dyDescent="0.25"/>
    <row r="818" ht="12.75" customHeight="1" x14ac:dyDescent="0.25"/>
    <row r="819" ht="12.75" customHeight="1" x14ac:dyDescent="0.25"/>
    <row r="820" ht="12.75" customHeight="1" x14ac:dyDescent="0.25"/>
    <row r="821" ht="12.75" customHeight="1" x14ac:dyDescent="0.25"/>
    <row r="822" ht="12.75" customHeight="1" x14ac:dyDescent="0.25"/>
    <row r="823" ht="12.75" customHeight="1" x14ac:dyDescent="0.25"/>
    <row r="824" ht="12.75" customHeight="1" x14ac:dyDescent="0.25"/>
    <row r="825" ht="12.75" customHeight="1" x14ac:dyDescent="0.25"/>
    <row r="826" ht="12.75" customHeight="1" x14ac:dyDescent="0.25"/>
    <row r="827" ht="12.75" customHeight="1" x14ac:dyDescent="0.25"/>
    <row r="828" ht="12.75" customHeight="1" x14ac:dyDescent="0.25"/>
    <row r="829" ht="12.75" customHeight="1" x14ac:dyDescent="0.25"/>
    <row r="830" ht="12.75" customHeight="1" x14ac:dyDescent="0.25"/>
    <row r="831" ht="12.75" customHeight="1" x14ac:dyDescent="0.25"/>
    <row r="832" ht="12.75" customHeight="1" x14ac:dyDescent="0.25"/>
    <row r="833" ht="12.75" customHeight="1" x14ac:dyDescent="0.25"/>
    <row r="834" ht="12.75" customHeight="1" x14ac:dyDescent="0.25"/>
    <row r="835" ht="12.75" customHeight="1" x14ac:dyDescent="0.25"/>
    <row r="836" ht="12.75" customHeight="1" x14ac:dyDescent="0.25"/>
    <row r="837" ht="12.75" customHeight="1" x14ac:dyDescent="0.25"/>
    <row r="838" ht="12.75" customHeight="1" x14ac:dyDescent="0.25"/>
    <row r="839" ht="12.75" customHeight="1" x14ac:dyDescent="0.25"/>
    <row r="840" ht="12.75" customHeight="1" x14ac:dyDescent="0.25"/>
    <row r="841" ht="12.75" customHeight="1" x14ac:dyDescent="0.25"/>
    <row r="842" ht="12.75" customHeight="1" x14ac:dyDescent="0.25"/>
    <row r="843" ht="12.75" customHeight="1" x14ac:dyDescent="0.25"/>
    <row r="844" ht="12.75" customHeight="1" x14ac:dyDescent="0.25"/>
    <row r="845" ht="12.75" customHeight="1" x14ac:dyDescent="0.25"/>
    <row r="846" ht="12.75" customHeight="1" x14ac:dyDescent="0.25"/>
    <row r="847" ht="12.75" customHeight="1" x14ac:dyDescent="0.25"/>
    <row r="848" ht="12.75" customHeight="1" x14ac:dyDescent="0.25"/>
    <row r="849" ht="12.75" customHeight="1" x14ac:dyDescent="0.25"/>
    <row r="850" ht="12.75" customHeight="1" x14ac:dyDescent="0.25"/>
    <row r="851" ht="12.75" customHeight="1" x14ac:dyDescent="0.25"/>
    <row r="852" ht="12.75" customHeight="1" x14ac:dyDescent="0.25"/>
    <row r="853" ht="12.75" customHeight="1" x14ac:dyDescent="0.25"/>
    <row r="854" ht="12.75" customHeight="1" x14ac:dyDescent="0.25"/>
    <row r="855" ht="12.75" customHeight="1" x14ac:dyDescent="0.25"/>
    <row r="856" ht="12.75" customHeight="1" x14ac:dyDescent="0.25"/>
    <row r="857" ht="12.75" customHeight="1" x14ac:dyDescent="0.25"/>
    <row r="858" ht="12.75" customHeight="1" x14ac:dyDescent="0.25"/>
    <row r="859" ht="12.75" customHeight="1" x14ac:dyDescent="0.25"/>
    <row r="860" ht="12.75" customHeight="1" x14ac:dyDescent="0.25"/>
    <row r="861" ht="12.75" customHeight="1" x14ac:dyDescent="0.25"/>
    <row r="862" ht="12.75" customHeight="1" x14ac:dyDescent="0.25"/>
    <row r="863" ht="12.75" customHeight="1" x14ac:dyDescent="0.25"/>
    <row r="864" ht="12.75" customHeight="1" x14ac:dyDescent="0.25"/>
    <row r="865" ht="12.75" customHeight="1" x14ac:dyDescent="0.25"/>
    <row r="866" ht="12.75" customHeight="1" x14ac:dyDescent="0.25"/>
    <row r="867" ht="12.75" customHeight="1" x14ac:dyDescent="0.25"/>
    <row r="868" ht="12.75" customHeight="1" x14ac:dyDescent="0.25"/>
    <row r="869" ht="12.75" customHeight="1" x14ac:dyDescent="0.25"/>
    <row r="870" ht="12.75" customHeight="1" x14ac:dyDescent="0.25"/>
    <row r="871" ht="12.75" customHeight="1" x14ac:dyDescent="0.25"/>
    <row r="872" ht="12.75" customHeight="1" x14ac:dyDescent="0.25"/>
    <row r="873" ht="12.75" customHeight="1" x14ac:dyDescent="0.25"/>
    <row r="874" ht="12.75" customHeight="1" x14ac:dyDescent="0.25"/>
    <row r="875" ht="12.75" customHeight="1" x14ac:dyDescent="0.25"/>
    <row r="876" ht="12.75" customHeight="1" x14ac:dyDescent="0.25"/>
    <row r="877" ht="12.75" customHeight="1" x14ac:dyDescent="0.25"/>
    <row r="878" ht="12.75" customHeight="1" x14ac:dyDescent="0.25"/>
    <row r="879" ht="12.75" customHeight="1" x14ac:dyDescent="0.25"/>
    <row r="880" ht="12.75" customHeight="1" x14ac:dyDescent="0.25"/>
    <row r="881" ht="12.75" customHeight="1" x14ac:dyDescent="0.25"/>
    <row r="882" ht="12.75" customHeight="1" x14ac:dyDescent="0.25"/>
    <row r="883" ht="12.75" customHeight="1" x14ac:dyDescent="0.25"/>
    <row r="884" ht="12.75" customHeight="1" x14ac:dyDescent="0.25"/>
    <row r="885" ht="12.75" customHeight="1" x14ac:dyDescent="0.25"/>
    <row r="886" ht="12.75" customHeight="1" x14ac:dyDescent="0.25"/>
    <row r="887" ht="12.75" customHeight="1" x14ac:dyDescent="0.25"/>
    <row r="888" ht="12.75" customHeight="1" x14ac:dyDescent="0.25"/>
    <row r="889" ht="12.75" customHeight="1" x14ac:dyDescent="0.25"/>
    <row r="890" ht="12.75" customHeight="1" x14ac:dyDescent="0.25"/>
    <row r="891" ht="12.75" customHeight="1" x14ac:dyDescent="0.25"/>
    <row r="892" ht="12.75" customHeight="1" x14ac:dyDescent="0.25"/>
    <row r="893" ht="12.75" customHeight="1" x14ac:dyDescent="0.25"/>
    <row r="894" ht="12.75" customHeight="1" x14ac:dyDescent="0.25"/>
    <row r="895" ht="12.75" customHeight="1" x14ac:dyDescent="0.25"/>
    <row r="896" ht="12.75" customHeight="1" x14ac:dyDescent="0.25"/>
    <row r="897" ht="12.75" customHeight="1" x14ac:dyDescent="0.25"/>
    <row r="898" ht="12.75" customHeight="1" x14ac:dyDescent="0.25"/>
    <row r="899" ht="12.75" customHeight="1" x14ac:dyDescent="0.25"/>
    <row r="900" ht="12.75" customHeight="1" x14ac:dyDescent="0.25"/>
    <row r="901" ht="12.75" customHeight="1" x14ac:dyDescent="0.25"/>
    <row r="902" ht="12.75" customHeight="1" x14ac:dyDescent="0.25"/>
    <row r="903" ht="12.75" customHeight="1" x14ac:dyDescent="0.25"/>
    <row r="904" ht="12.75" customHeight="1" x14ac:dyDescent="0.25"/>
    <row r="905" ht="12.75" customHeight="1" x14ac:dyDescent="0.25"/>
    <row r="906" ht="12.75" customHeight="1" x14ac:dyDescent="0.25"/>
    <row r="907" ht="12.75" customHeight="1" x14ac:dyDescent="0.25"/>
    <row r="908" ht="12.75" customHeight="1" x14ac:dyDescent="0.25"/>
    <row r="909" ht="12.75" customHeight="1" x14ac:dyDescent="0.25"/>
    <row r="910" ht="12.75" customHeight="1" x14ac:dyDescent="0.25"/>
    <row r="911" ht="12.75" customHeight="1" x14ac:dyDescent="0.25"/>
    <row r="912" ht="12.75" customHeight="1" x14ac:dyDescent="0.25"/>
    <row r="913" ht="12.75" customHeight="1" x14ac:dyDescent="0.25"/>
    <row r="914" ht="12.75" customHeight="1" x14ac:dyDescent="0.25"/>
    <row r="915" ht="12.75" customHeight="1" x14ac:dyDescent="0.25"/>
    <row r="916" ht="12.75" customHeight="1" x14ac:dyDescent="0.25"/>
    <row r="917" ht="12.75" customHeight="1" x14ac:dyDescent="0.25"/>
    <row r="918" ht="12.75" customHeight="1" x14ac:dyDescent="0.25"/>
    <row r="919" ht="12.75" customHeight="1" x14ac:dyDescent="0.25"/>
    <row r="920" ht="12.75" customHeight="1" x14ac:dyDescent="0.25"/>
    <row r="921" ht="12.75" customHeight="1" x14ac:dyDescent="0.25"/>
    <row r="922" ht="12.75" customHeight="1" x14ac:dyDescent="0.25"/>
    <row r="923" ht="12.75" customHeight="1" x14ac:dyDescent="0.25"/>
    <row r="924" ht="12.75" customHeight="1" x14ac:dyDescent="0.25"/>
    <row r="925" ht="12.75" customHeight="1" x14ac:dyDescent="0.25"/>
    <row r="926" ht="12.75" customHeight="1" x14ac:dyDescent="0.25"/>
    <row r="927" ht="12.75" customHeight="1" x14ac:dyDescent="0.25"/>
    <row r="928" ht="12.75" customHeight="1" x14ac:dyDescent="0.25"/>
    <row r="929" ht="12.75" customHeight="1" x14ac:dyDescent="0.25"/>
    <row r="930" ht="12.75" customHeight="1" x14ac:dyDescent="0.25"/>
    <row r="931" ht="12.75" customHeight="1" x14ac:dyDescent="0.25"/>
    <row r="932" ht="12.75" customHeight="1" x14ac:dyDescent="0.25"/>
    <row r="933" ht="12.75" customHeight="1" x14ac:dyDescent="0.25"/>
    <row r="934" ht="12.75" customHeight="1" x14ac:dyDescent="0.25"/>
    <row r="935" ht="12.75" customHeight="1" x14ac:dyDescent="0.25"/>
    <row r="936" ht="12.75" customHeight="1" x14ac:dyDescent="0.25"/>
    <row r="937" ht="12.75" customHeight="1" x14ac:dyDescent="0.25"/>
    <row r="938" ht="12.75" customHeight="1" x14ac:dyDescent="0.25"/>
    <row r="939" ht="12.75" customHeight="1" x14ac:dyDescent="0.25"/>
    <row r="940" ht="12.75" customHeight="1" x14ac:dyDescent="0.25"/>
    <row r="941" ht="12.75" customHeight="1" x14ac:dyDescent="0.25"/>
    <row r="942" ht="12.75" customHeight="1" x14ac:dyDescent="0.25"/>
    <row r="943" ht="12.75" customHeight="1" x14ac:dyDescent="0.25"/>
    <row r="944" ht="12.75" customHeight="1" x14ac:dyDescent="0.25"/>
    <row r="945" ht="12.75" customHeight="1" x14ac:dyDescent="0.25"/>
    <row r="946" ht="12.75" customHeight="1" x14ac:dyDescent="0.25"/>
    <row r="947" ht="12.75" customHeight="1" x14ac:dyDescent="0.25"/>
    <row r="948" ht="12.75" customHeight="1" x14ac:dyDescent="0.25"/>
    <row r="949" ht="12.75" customHeight="1" x14ac:dyDescent="0.25"/>
    <row r="950" ht="12.75" customHeight="1" x14ac:dyDescent="0.25"/>
    <row r="951" ht="12.75" customHeight="1" x14ac:dyDescent="0.25"/>
    <row r="952" ht="12.75" customHeight="1" x14ac:dyDescent="0.25"/>
    <row r="953" ht="12.75" customHeight="1" x14ac:dyDescent="0.25"/>
    <row r="954" ht="12.75" customHeight="1" x14ac:dyDescent="0.25"/>
    <row r="955" ht="12.75" customHeight="1" x14ac:dyDescent="0.25"/>
    <row r="956" ht="12.75" customHeight="1" x14ac:dyDescent="0.25"/>
    <row r="957" ht="12.75" customHeight="1" x14ac:dyDescent="0.25"/>
    <row r="958" ht="12.75" customHeight="1" x14ac:dyDescent="0.25"/>
    <row r="959" ht="12.75" customHeight="1" x14ac:dyDescent="0.25"/>
    <row r="960" ht="12.75" customHeight="1" x14ac:dyDescent="0.25"/>
    <row r="961" ht="12.75" customHeight="1" x14ac:dyDescent="0.25"/>
    <row r="962" ht="12.75" customHeight="1" x14ac:dyDescent="0.25"/>
    <row r="963" ht="12.75" customHeight="1" x14ac:dyDescent="0.25"/>
    <row r="964" ht="12.75" customHeight="1" x14ac:dyDescent="0.25"/>
    <row r="965" ht="12.75" customHeight="1" x14ac:dyDescent="0.25"/>
    <row r="966" ht="12.75" customHeight="1" x14ac:dyDescent="0.25"/>
    <row r="967" ht="12.75" customHeight="1" x14ac:dyDescent="0.25"/>
    <row r="968" ht="12.75" customHeight="1" x14ac:dyDescent="0.25"/>
    <row r="969" ht="12.75" customHeight="1" x14ac:dyDescent="0.25"/>
    <row r="970" ht="12.75" customHeight="1" x14ac:dyDescent="0.25"/>
    <row r="971" ht="12.75" customHeight="1" x14ac:dyDescent="0.25"/>
    <row r="972" ht="12.75" customHeight="1" x14ac:dyDescent="0.25"/>
    <row r="973" ht="12.75" customHeight="1" x14ac:dyDescent="0.25"/>
    <row r="974" ht="12.75" customHeight="1" x14ac:dyDescent="0.25"/>
    <row r="975" ht="12.75" customHeight="1" x14ac:dyDescent="0.25"/>
    <row r="976" ht="12.75" customHeight="1" x14ac:dyDescent="0.25"/>
    <row r="977" ht="12.75" customHeight="1" x14ac:dyDescent="0.25"/>
    <row r="978" ht="12.75" customHeight="1" x14ac:dyDescent="0.25"/>
    <row r="979" ht="12.75" customHeight="1" x14ac:dyDescent="0.25"/>
    <row r="980" ht="12.75" customHeight="1" x14ac:dyDescent="0.25"/>
    <row r="981" ht="12.75" customHeight="1" x14ac:dyDescent="0.25"/>
    <row r="982" ht="12.75" customHeight="1" x14ac:dyDescent="0.25"/>
    <row r="983" ht="12.75" customHeight="1" x14ac:dyDescent="0.25"/>
    <row r="984" ht="12.75" customHeight="1" x14ac:dyDescent="0.25"/>
    <row r="985" ht="12.75" customHeight="1" x14ac:dyDescent="0.25"/>
    <row r="986" ht="12.75" customHeight="1" x14ac:dyDescent="0.25"/>
    <row r="987" ht="12.75" customHeight="1" x14ac:dyDescent="0.25"/>
    <row r="988" ht="12.75" customHeight="1" x14ac:dyDescent="0.25"/>
    <row r="989" ht="12.75" customHeight="1" x14ac:dyDescent="0.25"/>
    <row r="990" ht="12.75" customHeight="1" x14ac:dyDescent="0.25"/>
    <row r="991" ht="12.75" customHeight="1" x14ac:dyDescent="0.25"/>
    <row r="992" ht="12.75" customHeight="1" x14ac:dyDescent="0.25"/>
    <row r="993" ht="12.75" customHeight="1" x14ac:dyDescent="0.25"/>
    <row r="994" ht="12.75" customHeight="1" x14ac:dyDescent="0.25"/>
    <row r="995" ht="12.75" customHeight="1" x14ac:dyDescent="0.25"/>
    <row r="996" ht="12.75" customHeight="1" x14ac:dyDescent="0.25"/>
    <row r="997" ht="12.75" customHeight="1" x14ac:dyDescent="0.25"/>
    <row r="998" ht="12.75" customHeight="1" x14ac:dyDescent="0.25"/>
    <row r="999" ht="12.75" customHeight="1" x14ac:dyDescent="0.25"/>
    <row r="1000" ht="12.75" customHeight="1" x14ac:dyDescent="0.25"/>
  </sheetData>
  <mergeCells count="258">
    <mergeCell ref="B1:G1"/>
    <mergeCell ref="H1:J1"/>
    <mergeCell ref="K1:R1"/>
    <mergeCell ref="S1:V1"/>
    <mergeCell ref="W1:AA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V2:X3"/>
    <mergeCell ref="Y2:AB3"/>
    <mergeCell ref="B3:C3"/>
    <mergeCell ref="D3:E3"/>
    <mergeCell ref="F3:G3"/>
    <mergeCell ref="H3:I3"/>
    <mergeCell ref="J3:K3"/>
    <mergeCell ref="L3:M3"/>
    <mergeCell ref="N3:O3"/>
    <mergeCell ref="P3:Q3"/>
    <mergeCell ref="R3:S3"/>
    <mergeCell ref="T3:U3"/>
    <mergeCell ref="B5:B6"/>
    <mergeCell ref="C5:C6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5:V6"/>
    <mergeCell ref="W5:W6"/>
    <mergeCell ref="X5:X6"/>
    <mergeCell ref="Y5:Y6"/>
    <mergeCell ref="Z5:Z6"/>
    <mergeCell ref="AA5:AA6"/>
    <mergeCell ref="AB5:AB6"/>
    <mergeCell ref="B7:B8"/>
    <mergeCell ref="C7:C8"/>
    <mergeCell ref="D7:D8"/>
    <mergeCell ref="E7:E8"/>
    <mergeCell ref="F7:F8"/>
    <mergeCell ref="G7:G8"/>
    <mergeCell ref="H7:H8"/>
    <mergeCell ref="I7:I8"/>
    <mergeCell ref="J7:J8"/>
    <mergeCell ref="K7:K8"/>
    <mergeCell ref="L7:L8"/>
    <mergeCell ref="M7:M8"/>
    <mergeCell ref="N7:N8"/>
    <mergeCell ref="O7:O8"/>
    <mergeCell ref="P7:P8"/>
    <mergeCell ref="Q7:Q8"/>
    <mergeCell ref="R7:R8"/>
    <mergeCell ref="S7:S8"/>
    <mergeCell ref="T7:T8"/>
    <mergeCell ref="U7:U8"/>
    <mergeCell ref="V7:V8"/>
    <mergeCell ref="W7:W8"/>
    <mergeCell ref="X7:X8"/>
    <mergeCell ref="Y7:Y8"/>
    <mergeCell ref="Z7:Z8"/>
    <mergeCell ref="AA7:AA8"/>
    <mergeCell ref="AB7:AB8"/>
    <mergeCell ref="B9:B10"/>
    <mergeCell ref="C9:C10"/>
    <mergeCell ref="D9:D10"/>
    <mergeCell ref="E9:E10"/>
    <mergeCell ref="F9:F10"/>
    <mergeCell ref="G9:G10"/>
    <mergeCell ref="H9:H10"/>
    <mergeCell ref="I9:I10"/>
    <mergeCell ref="J9:J10"/>
    <mergeCell ref="K9:K10"/>
    <mergeCell ref="L9:L10"/>
    <mergeCell ref="M9:M10"/>
    <mergeCell ref="N9:N10"/>
    <mergeCell ref="O9:O10"/>
    <mergeCell ref="P9:P10"/>
    <mergeCell ref="Q9:Q10"/>
    <mergeCell ref="R9:R10"/>
    <mergeCell ref="S9:S10"/>
    <mergeCell ref="T9:T10"/>
    <mergeCell ref="U9:U10"/>
    <mergeCell ref="V9:V10"/>
    <mergeCell ref="W9:W10"/>
    <mergeCell ref="X9:X10"/>
    <mergeCell ref="Y9:Y10"/>
    <mergeCell ref="Z9:Z10"/>
    <mergeCell ref="AA9:AA10"/>
    <mergeCell ref="AB9:AB10"/>
    <mergeCell ref="B11:B12"/>
    <mergeCell ref="C11:C12"/>
    <mergeCell ref="D11:D12"/>
    <mergeCell ref="E11:E12"/>
    <mergeCell ref="F11:F12"/>
    <mergeCell ref="G11:G12"/>
    <mergeCell ref="H11:H12"/>
    <mergeCell ref="I11:I12"/>
    <mergeCell ref="J11:J12"/>
    <mergeCell ref="K11:K12"/>
    <mergeCell ref="L11:L12"/>
    <mergeCell ref="M11:M12"/>
    <mergeCell ref="N11:N12"/>
    <mergeCell ref="O11:O12"/>
    <mergeCell ref="P11:P12"/>
    <mergeCell ref="Q11:Q12"/>
    <mergeCell ref="R11:R12"/>
    <mergeCell ref="S11:S12"/>
    <mergeCell ref="T11:T12"/>
    <mergeCell ref="U11:U12"/>
    <mergeCell ref="V11:V12"/>
    <mergeCell ref="W11:W12"/>
    <mergeCell ref="X11:X12"/>
    <mergeCell ref="Y11:Y12"/>
    <mergeCell ref="Z11:Z12"/>
    <mergeCell ref="AA11:AA12"/>
    <mergeCell ref="AB11:AB12"/>
    <mergeCell ref="B13:B14"/>
    <mergeCell ref="C13:C14"/>
    <mergeCell ref="D13:D14"/>
    <mergeCell ref="E13:E14"/>
    <mergeCell ref="F13:F14"/>
    <mergeCell ref="G13:G14"/>
    <mergeCell ref="H13:H14"/>
    <mergeCell ref="I13:I14"/>
    <mergeCell ref="J13:J14"/>
    <mergeCell ref="K13:K14"/>
    <mergeCell ref="L13:L14"/>
    <mergeCell ref="M13:M14"/>
    <mergeCell ref="N13:N14"/>
    <mergeCell ref="O13:O14"/>
    <mergeCell ref="P13:P14"/>
    <mergeCell ref="Q13:Q14"/>
    <mergeCell ref="R13:R14"/>
    <mergeCell ref="S13:S14"/>
    <mergeCell ref="T13:T14"/>
    <mergeCell ref="U13:U14"/>
    <mergeCell ref="V13:V14"/>
    <mergeCell ref="W13:W14"/>
    <mergeCell ref="X13:X14"/>
    <mergeCell ref="Y13:Y14"/>
    <mergeCell ref="Z13:Z14"/>
    <mergeCell ref="AA13:AA14"/>
    <mergeCell ref="AB13:AB14"/>
    <mergeCell ref="B15:B16"/>
    <mergeCell ref="C15:C16"/>
    <mergeCell ref="D15:D16"/>
    <mergeCell ref="E15:E16"/>
    <mergeCell ref="F15:F16"/>
    <mergeCell ref="G15:G16"/>
    <mergeCell ref="H15:H16"/>
    <mergeCell ref="I15:I16"/>
    <mergeCell ref="J15:J16"/>
    <mergeCell ref="K15:K16"/>
    <mergeCell ref="L15:L16"/>
    <mergeCell ref="M15:M16"/>
    <mergeCell ref="N15:N16"/>
    <mergeCell ref="O15:O16"/>
    <mergeCell ref="P15:P16"/>
    <mergeCell ref="Q15:Q16"/>
    <mergeCell ref="R15:R16"/>
    <mergeCell ref="S15:S16"/>
    <mergeCell ref="T15:T16"/>
    <mergeCell ref="U15:U16"/>
    <mergeCell ref="V15:V16"/>
    <mergeCell ref="W15:W16"/>
    <mergeCell ref="X15:X16"/>
    <mergeCell ref="Y15:Y16"/>
    <mergeCell ref="Z15:Z16"/>
    <mergeCell ref="AA15:AA16"/>
    <mergeCell ref="AB15:AB16"/>
    <mergeCell ref="B17:B18"/>
    <mergeCell ref="C17:C18"/>
    <mergeCell ref="D17:D18"/>
    <mergeCell ref="E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P18"/>
    <mergeCell ref="Q17:Q18"/>
    <mergeCell ref="R17:R18"/>
    <mergeCell ref="S17:S18"/>
    <mergeCell ref="T17:T18"/>
    <mergeCell ref="U17:U18"/>
    <mergeCell ref="V17:V18"/>
    <mergeCell ref="W17:W18"/>
    <mergeCell ref="X17:X18"/>
    <mergeCell ref="Y17:Y18"/>
    <mergeCell ref="Z17:Z18"/>
    <mergeCell ref="AA17:AA18"/>
    <mergeCell ref="AB17:AB18"/>
    <mergeCell ref="A20:AB20"/>
    <mergeCell ref="V21:X21"/>
    <mergeCell ref="Y21:Z21"/>
    <mergeCell ref="AA21:AB21"/>
    <mergeCell ref="B22:C22"/>
    <mergeCell ref="D22:E22"/>
    <mergeCell ref="F22:G22"/>
    <mergeCell ref="H22:I22"/>
    <mergeCell ref="J22:K22"/>
    <mergeCell ref="L22:M22"/>
    <mergeCell ref="N22:O22"/>
    <mergeCell ref="P22:Q22"/>
    <mergeCell ref="R22:S22"/>
    <mergeCell ref="T22:U22"/>
    <mergeCell ref="V22:X22"/>
    <mergeCell ref="Y22:Z22"/>
    <mergeCell ref="AA22:AB22"/>
    <mergeCell ref="A23:F25"/>
    <mergeCell ref="G23:N25"/>
    <mergeCell ref="O23:X23"/>
    <mergeCell ref="Y23:Z24"/>
    <mergeCell ref="AA23:AB24"/>
    <mergeCell ref="O24:P24"/>
    <mergeCell ref="Q24:R24"/>
    <mergeCell ref="T24:V24"/>
    <mergeCell ref="O25:P25"/>
    <mergeCell ref="Q25:X25"/>
    <mergeCell ref="Y25:Z25"/>
    <mergeCell ref="AA25:AB25"/>
    <mergeCell ref="A26:C27"/>
    <mergeCell ref="D26:F27"/>
    <mergeCell ref="G26:K27"/>
    <mergeCell ref="L26:N27"/>
    <mergeCell ref="O26:P26"/>
    <mergeCell ref="Q26:X26"/>
    <mergeCell ref="Y26:Z27"/>
    <mergeCell ref="AA26:AB27"/>
    <mergeCell ref="O27:X27"/>
    <mergeCell ref="A28:F32"/>
    <mergeCell ref="G28:W32"/>
    <mergeCell ref="X28:AB30"/>
    <mergeCell ref="X31:AB32"/>
  </mergeCells>
  <printOptions horizontalCentered="1" verticalCentered="1"/>
  <pageMargins left="0.2362204724409449" right="0.2362204724409449" top="0.5511811023622047" bottom="0.7480314960629921" header="0" footer="0"/>
  <pageSetup paperSize="9" orientation="landscape" horizontalDpi="4294967295" verticalDpi="4294967295" scale="100" fitToWidth="0" fitToHeight="1" firstPageNumber="1" useFirstPageNumber="1" copies="1"/>
  <headerFooter>
    <oddHeader>&amp;C&amp;A</oddHeader>
    <oddFooter>&amp;CPage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2026-08-16T18:09:55Z</dcterms:created>
  <dcterms:modified xsi:type="dcterms:W3CDTF">2026-08-16T18:09:55Z</dcterms:modified>
</cp:coreProperties>
</file>